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F8EC48FD-932C-4D73-88C2-ECCF95489D44}" xr6:coauthVersionLast="47" xr6:coauthVersionMax="47" xr10:uidLastSave="{00000000-0000-0000-0000-000000000000}"/>
  <bookViews>
    <workbookView xWindow="-108" yWindow="-108" windowWidth="23256" windowHeight="12456" tabRatio="778" activeTab="1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17" l="1"/>
  <c r="M9" i="117"/>
  <c r="Q13" i="117"/>
  <c r="R10" i="117"/>
  <c r="K18" i="117"/>
  <c r="H20" i="117"/>
  <c r="H7" i="117" l="1"/>
  <c r="T10" i="117"/>
  <c r="P10" i="117"/>
  <c r="P13" i="117"/>
  <c r="U13" i="117"/>
  <c r="U12" i="117"/>
  <c r="U11" i="117"/>
  <c r="U10" i="117"/>
  <c r="T12" i="117"/>
  <c r="T13" i="117"/>
  <c r="T11" i="117"/>
  <c r="S13" i="117"/>
  <c r="S12" i="117"/>
  <c r="S11" i="117"/>
  <c r="S10" i="117"/>
  <c r="U7" i="117"/>
  <c r="U6" i="117"/>
  <c r="U5" i="117"/>
  <c r="U4" i="117"/>
  <c r="T7" i="117"/>
  <c r="T6" i="117"/>
  <c r="T5" i="117"/>
  <c r="T4" i="117"/>
  <c r="S6" i="117"/>
  <c r="S7" i="117"/>
  <c r="S5" i="117"/>
  <c r="S4" i="117"/>
  <c r="R13" i="117"/>
  <c r="R12" i="117"/>
  <c r="R11" i="117"/>
  <c r="R7" i="117"/>
  <c r="R6" i="117"/>
  <c r="R5" i="117"/>
  <c r="R4" i="117"/>
  <c r="N9" i="117" l="1"/>
  <c r="Q12" i="117"/>
  <c r="O13" i="117"/>
  <c r="P12" i="117"/>
  <c r="O12" i="117"/>
  <c r="Q11" i="117"/>
  <c r="P11" i="117"/>
  <c r="O11" i="117"/>
  <c r="Q10" i="117"/>
  <c r="O10" i="117"/>
  <c r="Q7" i="117"/>
  <c r="P7" i="117"/>
  <c r="O7" i="117"/>
  <c r="Q6" i="117"/>
  <c r="P6" i="117"/>
  <c r="O6" i="117"/>
  <c r="Q5" i="117"/>
  <c r="P5" i="117"/>
  <c r="O5" i="117"/>
  <c r="Q4" i="117"/>
  <c r="P4" i="117"/>
  <c r="O4" i="117"/>
  <c r="N3" i="117"/>
  <c r="H10" i="117" l="1"/>
</calcChain>
</file>

<file path=xl/sharedStrings.xml><?xml version="1.0" encoding="utf-8"?>
<sst xmlns="http://schemas.openxmlformats.org/spreadsheetml/2006/main" count="26451" uniqueCount="816">
  <si>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</si>
  <si>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</si>
  <si>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</si>
  <si>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</si>
  <si>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</si>
  <si>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</si>
  <si>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</si>
  <si>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</si>
  <si>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</si>
  <si>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</si>
  <si>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</si>
  <si>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</si>
  <si>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</si>
  <si>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</si>
  <si>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</si>
  <si>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</si>
  <si>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</si>
  <si>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</si>
  <si>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</si>
  <si>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</si>
  <si>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</si>
  <si>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</si>
  <si>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</si>
  <si>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</si>
  <si>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</si>
  <si>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</si>
  <si>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</si>
  <si>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</si>
  <si>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</si>
  <si>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</si>
  <si>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</si>
  <si>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</si>
  <si>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</si>
  <si>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</si>
  <si>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</si>
  <si>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</si>
  <si>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</si>
  <si>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</si>
  <si>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</si>
  <si>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</si>
  <si>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</si>
  <si>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</si>
  <si>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</si>
  <si>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</si>
  <si>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</si>
  <si>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</si>
  <si>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</si>
  <si>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</si>
  <si>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</si>
  <si>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</si>
  <si>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</si>
  <si>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</si>
  <si>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</si>
  <si>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</si>
  <si>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</si>
  <si>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</si>
  <si>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</si>
  <si>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</si>
  <si>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</si>
  <si>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</si>
  <si>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</si>
  <si>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</si>
  <si>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</si>
  <si>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</si>
  <si>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</si>
  <si>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</si>
  <si>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</si>
  <si>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</si>
  <si>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</si>
  <si>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</si>
  <si>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</si>
  <si>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</si>
  <si>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</si>
  <si>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</si>
  <si>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</si>
  <si>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</si>
  <si>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</si>
  <si>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</si>
  <si>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</si>
  <si>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</si>
  <si>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</si>
  <si>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</si>
  <si>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</si>
  <si>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</si>
  <si>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</si>
  <si>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</si>
  <si>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</si>
  <si>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</si>
  <si>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</si>
  <si>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</si>
  <si>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</si>
  <si>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</si>
  <si>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</si>
  <si>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</si>
  <si>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</si>
  <si>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</si>
  <si>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</si>
  <si>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</si>
  <si>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</si>
  <si>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</si>
  <si>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</si>
  <si>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</si>
  <si>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</si>
  <si>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</si>
  <si>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</si>
  <si>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</si>
  <si>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</si>
  <si>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</si>
  <si>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</si>
  <si>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</si>
  <si>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</si>
  <si>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</si>
  <si>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</si>
  <si>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</si>
  <si>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</si>
  <si>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</si>
  <si>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</si>
  <si>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</si>
  <si>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</si>
  <si>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</si>
  <si>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</si>
  <si>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</si>
  <si>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</si>
  <si>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</si>
  <si>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</si>
  <si>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</si>
  <si>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</si>
  <si>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</si>
  <si>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</si>
  <si>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</si>
  <si>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</si>
  <si>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</si>
  <si>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</si>
  <si>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</si>
  <si>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</si>
  <si>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</si>
  <si>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</si>
  <si>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</si>
  <si>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</si>
  <si>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</si>
  <si>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</si>
  <si>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</si>
  <si>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</si>
  <si>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</si>
  <si>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</si>
  <si>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</si>
  <si>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</si>
  <si>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</si>
  <si>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</si>
  <si>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</si>
  <si>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</si>
  <si>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</si>
  <si>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</si>
  <si>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</si>
  <si>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</si>
  <si>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</si>
  <si>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</si>
  <si>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</si>
  <si>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</si>
  <si>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</si>
  <si>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</si>
  <si>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</si>
  <si>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</si>
  <si>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</si>
  <si>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</si>
  <si>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</si>
  <si>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</si>
  <si>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</si>
  <si>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</si>
  <si>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</si>
  <si>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</si>
  <si>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</si>
  <si>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</si>
  <si>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</si>
  <si>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</si>
  <si>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</si>
  <si>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</si>
  <si>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</si>
  <si>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</si>
  <si>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</si>
  <si>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</si>
  <si>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</si>
  <si>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</si>
  <si>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</si>
  <si>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</si>
  <si>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</si>
  <si>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</si>
  <si>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</si>
  <si>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</si>
  <si>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</si>
  <si>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</si>
  <si>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</si>
  <si>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</si>
  <si>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</si>
  <si>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</si>
  <si>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</si>
  <si>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</si>
  <si>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</si>
  <si>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</si>
  <si>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</si>
  <si>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</si>
  <si>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</si>
  <si>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</si>
  <si>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</si>
  <si>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</si>
  <si>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</si>
  <si>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</si>
  <si>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</si>
  <si>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</si>
  <si>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</si>
  <si>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</si>
  <si>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</si>
  <si>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</si>
  <si>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</si>
  <si>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</si>
  <si>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</si>
  <si>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</si>
  <si>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</si>
  <si>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</si>
  <si>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</si>
  <si>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</si>
  <si>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</si>
  <si>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</si>
  <si>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</si>
  <si>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</si>
  <si>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</si>
  <si>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</si>
  <si>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</si>
  <si>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</si>
  <si>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</si>
  <si>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</si>
  <si>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</si>
  <si>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</si>
  <si>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</si>
  <si>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</si>
  <si>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</si>
  <si>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</si>
  <si>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</si>
  <si>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</si>
  <si>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</si>
  <si>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</si>
  <si>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</si>
  <si>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</si>
  <si>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</si>
  <si>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</si>
  <si>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</si>
  <si>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</si>
  <si>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</si>
  <si>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</si>
  <si>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</si>
  <si>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</si>
  <si>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</si>
  <si>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</si>
  <si>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</si>
  <si>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</si>
  <si>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</si>
  <si>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</si>
  <si>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</si>
  <si>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</si>
  <si>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</si>
  <si>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</si>
  <si>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</si>
  <si>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</si>
  <si>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</si>
  <si>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</si>
  <si>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</si>
  <si>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</si>
  <si>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</si>
  <si>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</si>
  <si>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</si>
  <si>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</si>
  <si>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</si>
  <si>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</si>
  <si>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</si>
  <si>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</si>
  <si>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</si>
  <si>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</si>
  <si>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</si>
  <si>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</si>
  <si>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</si>
  <si>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</si>
  <si>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</si>
  <si>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</si>
  <si>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</si>
  <si>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</si>
  <si>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</si>
  <si>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</si>
  <si>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</si>
  <si>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</si>
  <si>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</si>
  <si>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</si>
  <si>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</si>
  <si>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</si>
  <si>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</si>
  <si>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</si>
  <si>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</si>
  <si>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</si>
  <si>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</si>
  <si>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</si>
  <si>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</si>
  <si>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</si>
  <si>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</si>
  <si>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</si>
  <si>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</si>
  <si>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</si>
  <si>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</si>
  <si>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</si>
  <si>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</si>
  <si>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</si>
  <si>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</si>
  <si>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</si>
  <si>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</si>
  <si>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</si>
  <si>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</si>
  <si>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</si>
  <si>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</si>
  <si>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</si>
  <si>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</si>
  <si>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</si>
  <si>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</si>
  <si>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</si>
  <si>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</si>
  <si>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</si>
  <si>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</si>
  <si>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</si>
  <si>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</si>
  <si>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</si>
  <si>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</si>
  <si>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</si>
  <si>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</si>
  <si>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</si>
  <si>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</si>
  <si>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</si>
  <si>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</si>
  <si>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</si>
  <si>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</si>
  <si>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</si>
  <si>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</si>
  <si>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</si>
  <si>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</si>
  <si>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</si>
  <si>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</si>
  <si>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</si>
  <si>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</si>
  <si>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</si>
  <si>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</si>
  <si>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</si>
  <si>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</si>
  <si>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</si>
  <si>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</si>
  <si>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</si>
  <si>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</si>
  <si>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</si>
  <si>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</si>
  <si>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</si>
  <si>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</si>
  <si>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</si>
  <si>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</si>
  <si>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</si>
  <si>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</si>
  <si>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</si>
  <si>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</si>
  <si>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</si>
  <si>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</si>
  <si>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</si>
  <si>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</si>
  <si>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</si>
  <si>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</si>
  <si>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</si>
  <si>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</si>
  <si>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</si>
  <si>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</si>
  <si>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</si>
  <si>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</si>
  <si>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</si>
  <si>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</si>
  <si>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</si>
  <si>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</si>
  <si>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</si>
  <si>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</si>
  <si>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</si>
  <si>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</si>
  <si>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</si>
  <si>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</si>
  <si>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</si>
  <si>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</si>
  <si>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</si>
  <si>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</si>
  <si>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</si>
  <si>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</si>
  <si>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</si>
  <si>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</si>
  <si>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</si>
  <si>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</si>
  <si>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</si>
  <si>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</si>
  <si>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</si>
  <si>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</si>
  <si>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</si>
  <si>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</si>
  <si>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</si>
  <si>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</si>
  <si>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</si>
  <si>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</si>
  <si>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</si>
  <si>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</si>
  <si>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</si>
  <si>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</si>
  <si>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</si>
  <si>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</si>
  <si>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</si>
  <si>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</si>
  <si>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</si>
  <si>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</si>
  <si>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</si>
  <si>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</si>
  <si>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</si>
  <si>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</si>
  <si>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</si>
  <si>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</si>
  <si>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</si>
  <si>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</si>
  <si>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</si>
  <si>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</si>
  <si>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</si>
  <si>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</si>
  <si>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</si>
  <si>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</si>
  <si>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</si>
  <si>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</si>
  <si>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</si>
  <si>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</si>
  <si>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</si>
  <si>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</si>
  <si>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</si>
  <si>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</si>
  <si>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</si>
  <si>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</si>
  <si>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</si>
  <si>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</si>
  <si>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</si>
  <si>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</si>
  <si>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</si>
  <si>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</si>
  <si>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</si>
  <si>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</si>
  <si>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</si>
  <si>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</si>
  <si>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</si>
  <si>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</si>
  <si>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</si>
  <si>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</si>
  <si>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</si>
  <si>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</si>
  <si>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</si>
  <si>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</si>
  <si>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</si>
  <si>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</si>
  <si>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</si>
  <si>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</si>
  <si>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</si>
  <si>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</si>
  <si>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</si>
  <si>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</si>
  <si>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</si>
  <si>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</si>
  <si>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</si>
  <si>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</si>
  <si>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</si>
  <si>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</si>
  <si>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</si>
  <si>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</si>
  <si>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</si>
  <si>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</si>
  <si>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</si>
  <si>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</si>
  <si>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</si>
  <si>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</si>
  <si>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</si>
  <si>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</si>
  <si>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</si>
  <si>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</si>
  <si>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</si>
  <si>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</si>
  <si>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</si>
  <si>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</si>
  <si>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</si>
  <si>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</si>
  <si>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</si>
  <si>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</si>
  <si>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</si>
  <si>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</si>
  <si>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</si>
  <si>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</si>
  <si>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</si>
  <si>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</si>
  <si>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</si>
  <si>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</si>
  <si>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</si>
  <si>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</si>
  <si>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</si>
  <si>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</si>
  <si>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</si>
  <si>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</si>
  <si>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</si>
  <si>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</si>
  <si>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</si>
  <si>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</si>
  <si>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</si>
  <si>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</si>
  <si>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</si>
  <si>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</si>
  <si>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</si>
  <si>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</si>
  <si>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</si>
  <si>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</si>
  <si>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</si>
  <si>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</si>
  <si>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</si>
  <si>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</si>
  <si>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</si>
  <si>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</si>
  <si>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</si>
  <si>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</si>
  <si>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</si>
  <si>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</si>
  <si>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</si>
  <si>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</si>
  <si>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</si>
  <si>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</si>
  <si>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</si>
  <si>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</si>
  <si>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</si>
  <si>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</si>
  <si>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</si>
  <si>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</si>
  <si>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</si>
  <si>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</si>
  <si>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</si>
  <si>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</si>
  <si>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</si>
  <si>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</si>
  <si>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</si>
  <si>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</si>
  <si>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</si>
  <si>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</si>
  <si>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</si>
  <si>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</si>
  <si>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</si>
  <si>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</si>
  <si>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</si>
  <si>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</si>
  <si>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</si>
  <si>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22.4</t>
  </si>
  <si>
    <t>12.5</t>
  </si>
  <si>
    <t>11.2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</si>
  <si>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</si>
  <si>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</si>
  <si>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</si>
  <si>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</si>
  <si>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</si>
  <si>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</si>
  <si>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</si>
  <si>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</si>
  <si>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</si>
  <si>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</si>
  <si>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</si>
  <si>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</si>
  <si>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</si>
  <si>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</si>
  <si>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</si>
  <si>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</si>
  <si>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</si>
  <si>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</si>
  <si>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</si>
  <si>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</si>
  <si>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</si>
  <si>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</si>
  <si>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</si>
  <si>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</si>
  <si>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</si>
  <si>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</si>
  <si>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</si>
  <si>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</si>
  <si>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</si>
  <si>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f4</t>
  </si>
  <si>
    <t>Fator Térmico</t>
  </si>
  <si>
    <t>Kth</t>
  </si>
  <si>
    <t>Capacidade mecânica</t>
  </si>
  <si>
    <t>1842*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</si>
  <si>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</si>
  <si>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</si>
  <si>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t>35.3</t>
  </si>
  <si>
    <t>53.1</t>
  </si>
  <si>
    <t>75.6</t>
  </si>
  <si>
    <t>34.5</t>
  </si>
  <si>
    <t xml:space="preserve"> 51.7</t>
  </si>
  <si>
    <t>74.1</t>
  </si>
  <si>
    <t>33.0</t>
  </si>
  <si>
    <t>37.1</t>
  </si>
  <si>
    <t>38.0</t>
  </si>
  <si>
    <t>49.2</t>
  </si>
  <si>
    <t>57.3</t>
  </si>
  <si>
    <t>70.8</t>
  </si>
  <si>
    <t>77.1</t>
  </si>
  <si>
    <t>31.8</t>
  </si>
  <si>
    <t>45.6</t>
  </si>
  <si>
    <t>52.9</t>
  </si>
  <si>
    <t>65.9</t>
  </si>
  <si>
    <t>47.5</t>
  </si>
  <si>
    <t>55.7</t>
  </si>
  <si>
    <t>68.7</t>
  </si>
  <si>
    <t>75.5</t>
  </si>
  <si>
    <t>30.5</t>
  </si>
  <si>
    <t>72.1</t>
  </si>
  <si>
    <t>96.4</t>
  </si>
  <si>
    <t>28.9</t>
  </si>
  <si>
    <t>34.3</t>
  </si>
  <si>
    <t>43.3</t>
  </si>
  <si>
    <t>51.2</t>
  </si>
  <si>
    <t>62.5</t>
  </si>
  <si>
    <t>69.9</t>
  </si>
  <si>
    <t>91.6</t>
  </si>
  <si>
    <t>26.2</t>
  </si>
  <si>
    <t>32.8</t>
  </si>
  <si>
    <t>38.8</t>
  </si>
  <si>
    <t>49.1</t>
  </si>
  <si>
    <t>56.4</t>
  </si>
  <si>
    <t>67.2</t>
  </si>
  <si>
    <t>82.7</t>
  </si>
  <si>
    <t>25.6</t>
  </si>
  <si>
    <t>31.1</t>
  </si>
  <si>
    <t>37.8</t>
  </si>
  <si>
    <t>46.6</t>
  </si>
  <si>
    <t>54.8</t>
  </si>
  <si>
    <t>63.7</t>
  </si>
  <si>
    <t>80.2</t>
  </si>
  <si>
    <t>24.7</t>
  </si>
  <si>
    <t>28.2</t>
  </si>
  <si>
    <t>27.5</t>
  </si>
  <si>
    <t>41.9</t>
  </si>
  <si>
    <t>53.9</t>
  </si>
  <si>
    <t>57.6</t>
  </si>
  <si>
    <t>79.0</t>
  </si>
  <si>
    <t>91.7</t>
  </si>
  <si>
    <t>22.8</t>
  </si>
  <si>
    <t>34.9</t>
  </si>
  <si>
    <t>40.8</t>
  </si>
  <si>
    <t>50.1</t>
  </si>
  <si>
    <t>55.9</t>
  </si>
  <si>
    <t>73.6</t>
  </si>
  <si>
    <t>88.9</t>
  </si>
  <si>
    <t>22.1</t>
  </si>
  <si>
    <t>26.5</t>
  </si>
  <si>
    <t>33.5</t>
  </si>
  <si>
    <t>40.6</t>
  </si>
  <si>
    <t>48.0</t>
  </si>
  <si>
    <t>54.9</t>
  </si>
  <si>
    <t>70.7</t>
  </si>
  <si>
    <t>87.4</t>
  </si>
  <si>
    <t>97.2</t>
  </si>
  <si>
    <t>21.0</t>
  </si>
  <si>
    <t>24.5</t>
  </si>
  <si>
    <t>31.3</t>
  </si>
  <si>
    <t>37.6</t>
  </si>
  <si>
    <t>51.1</t>
  </si>
  <si>
    <t>66.7</t>
  </si>
  <si>
    <t>81.4</t>
  </si>
  <si>
    <t>90.7</t>
  </si>
  <si>
    <t>19.7</t>
  </si>
  <si>
    <t>23.8</t>
  </si>
  <si>
    <t>29.7</t>
  </si>
  <si>
    <t>36.1</t>
  </si>
  <si>
    <t>43.0</t>
  </si>
  <si>
    <t>49.0</t>
  </si>
  <si>
    <t>62.4</t>
  </si>
  <si>
    <t>78.1</t>
  </si>
  <si>
    <t>86.7</t>
  </si>
  <si>
    <t>22.6</t>
  </si>
  <si>
    <t>33.8</t>
  </si>
  <si>
    <t>73.8</t>
  </si>
  <si>
    <t>96.8</t>
  </si>
  <si>
    <t xml:space="preserve"> 21.2</t>
  </si>
  <si>
    <t>32.0</t>
  </si>
  <si>
    <t>44.0</t>
  </si>
  <si>
    <t>69.1</t>
  </si>
  <si>
    <t>92.7</t>
  </si>
  <si>
    <t xml:space="preserve"> 38.5</t>
  </si>
  <si>
    <t>57.5</t>
  </si>
  <si>
    <t xml:space="preserve"> 81.3</t>
  </si>
  <si>
    <t>56.2</t>
  </si>
  <si>
    <t>80.0</t>
  </si>
  <si>
    <t>36.3</t>
  </si>
  <si>
    <t>41.6</t>
  </si>
  <si>
    <t>53.8</t>
  </si>
  <si>
    <t>77.0</t>
  </si>
  <si>
    <t>83.3</t>
  </si>
  <si>
    <t>113.3</t>
  </si>
  <si>
    <t>35.2</t>
  </si>
  <si>
    <t>40.9</t>
  </si>
  <si>
    <t>52.2</t>
  </si>
  <si>
    <t>61.0</t>
  </si>
  <si>
    <t>75.1</t>
  </si>
  <si>
    <t>81.9</t>
  </si>
  <si>
    <t>39.3</t>
  </si>
  <si>
    <t>50.2</t>
  </si>
  <si>
    <t>58.3</t>
  </si>
  <si>
    <t>72.4</t>
  </si>
  <si>
    <t>78.8</t>
  </si>
  <si>
    <t>32.2</t>
  </si>
  <si>
    <t>47.9</t>
  </si>
  <si>
    <t>56.6</t>
  </si>
  <si>
    <t>76.8</t>
  </si>
  <si>
    <t>29.2</t>
  </si>
  <si>
    <t>36.5</t>
  </si>
  <si>
    <t>43.2</t>
  </si>
  <si>
    <t>54.4</t>
  </si>
  <si>
    <t>62.6</t>
  </si>
  <si>
    <t>90.8</t>
  </si>
  <si>
    <t>28.6</t>
  </si>
  <si>
    <t>34.8</t>
  </si>
  <si>
    <t>42.1</t>
  </si>
  <si>
    <t>51.9</t>
  </si>
  <si>
    <t>70.6</t>
  </si>
  <si>
    <t>88.2</t>
  </si>
  <si>
    <t>28.1</t>
  </si>
  <si>
    <t>42.9</t>
  </si>
  <si>
    <t>46.7</t>
  </si>
  <si>
    <t>64.2</t>
  </si>
  <si>
    <t>88.6</t>
  </si>
  <si>
    <t>26.0</t>
  </si>
  <si>
    <t>30.8</t>
  </si>
  <si>
    <t>39.8</t>
  </si>
  <si>
    <t>56.9</t>
  </si>
  <si>
    <t>82.8</t>
  </si>
  <si>
    <t>98.2</t>
  </si>
  <si>
    <t>25.3</t>
  </si>
  <si>
    <t>30.2</t>
  </si>
  <si>
    <t>38.2</t>
  </si>
  <si>
    <t>46.2</t>
  </si>
  <si>
    <t>54.6</t>
  </si>
  <si>
    <t>62.3</t>
  </si>
  <si>
    <t>79.7</t>
  </si>
  <si>
    <t>28.0</t>
  </si>
  <si>
    <t>51.6</t>
  </si>
  <si>
    <t>58.2</t>
  </si>
  <si>
    <t>75.3</t>
  </si>
  <si>
    <t>91.8</t>
  </si>
  <si>
    <t>22.2</t>
  </si>
  <si>
    <t>27.1</t>
  </si>
  <si>
    <t>33.3</t>
  </si>
  <si>
    <t>41.1</t>
  </si>
  <si>
    <t>48.4</t>
  </si>
  <si>
    <t>55.8</t>
  </si>
  <si>
    <t>70.3</t>
  </si>
  <si>
    <t>97.7</t>
  </si>
  <si>
    <t>25.5</t>
  </si>
  <si>
    <t>52.7</t>
  </si>
  <si>
    <t>83.4</t>
  </si>
  <si>
    <t>35.9</t>
  </si>
  <si>
    <t>49.5</t>
  </si>
  <si>
    <t>77.7</t>
  </si>
  <si>
    <t xml:space="preserve">iN: </t>
  </si>
  <si>
    <t xml:space="preserve">Superior ao buscado: </t>
  </si>
  <si>
    <t xml:space="preserve">PN2 dentro do intervalo: </t>
  </si>
  <si>
    <t xml:space="preserve">Tamanhos proximos: </t>
  </si>
  <si>
    <t xml:space="preserve">PGA: </t>
  </si>
  <si>
    <t xml:space="preserve"> PGB: </t>
  </si>
  <si>
    <t xml:space="preserve"> PGC: </t>
  </si>
  <si>
    <t xml:space="preserve"> PGD: </t>
  </si>
  <si>
    <t>3803 *</t>
  </si>
  <si>
    <t>2805 *</t>
  </si>
  <si>
    <t>*</t>
  </si>
  <si>
    <t>H</t>
  </si>
  <si>
    <t>Potência tambor de acionamento</t>
  </si>
  <si>
    <t>Potência  do motor</t>
  </si>
  <si>
    <t>f5</t>
  </si>
  <si>
    <t>Redutor 1:</t>
  </si>
  <si>
    <t>Redutor 2:</t>
  </si>
  <si>
    <t>Redutor 3:</t>
  </si>
  <si>
    <t>Redutor 4:</t>
  </si>
  <si>
    <t>Redutor4 :</t>
  </si>
  <si>
    <t>Necessário sem ventoinha</t>
  </si>
  <si>
    <t>S ou N</t>
  </si>
  <si>
    <t>Fator térmico Pa e Pb</t>
  </si>
  <si>
    <t>Fator térmico Pc e Pg</t>
  </si>
  <si>
    <t xml:space="preserve">Anterior ao buscado: </t>
  </si>
  <si>
    <t xml:space="preserve">Buscado: </t>
  </si>
  <si>
    <t xml:space="preserve">iN Buscado: </t>
  </si>
  <si>
    <t xml:space="preserve">PN2 Buscado: </t>
  </si>
  <si>
    <t xml:space="preserve"> Tipo: H3</t>
  </si>
  <si>
    <t>iN</t>
  </si>
  <si>
    <t>PN2</t>
  </si>
  <si>
    <t>Tamanho</t>
  </si>
  <si>
    <t>Pga</t>
  </si>
  <si>
    <t>F1</t>
  </si>
  <si>
    <t>Fator de serviço primario</t>
  </si>
  <si>
    <t>F2</t>
  </si>
  <si>
    <t>Pgb</t>
  </si>
  <si>
    <t>Pgc</t>
  </si>
  <si>
    <t>Pdg</t>
  </si>
  <si>
    <t>F3</t>
  </si>
  <si>
    <t>Nm</t>
  </si>
  <si>
    <t>Necessario consultar</t>
  </si>
  <si>
    <t>PN2 abaixo do fator de torque</t>
  </si>
  <si>
    <t>PN2 abaixo do buscado</t>
  </si>
  <si>
    <t>Valor nulo, vazio ou invalido</t>
  </si>
  <si>
    <t xml:space="preserve"> Tipo: H2</t>
  </si>
  <si>
    <t>Termal da relação 22,4 do tamanho: 11</t>
  </si>
  <si>
    <t>Termal da relação 25 do tamanho: 10</t>
  </si>
  <si>
    <t>Termal da relação 25 do tamanho: 12</t>
  </si>
  <si>
    <t>-</t>
  </si>
  <si>
    <t>Termal da relação 22,4 do tamanho: 13</t>
  </si>
  <si>
    <t>Termal da relação 25 do tamanho: 9</t>
  </si>
  <si>
    <t>Termal da relação 25 do tamanho: 11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</si>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</sst>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5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605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0" fontId="13" fillId="4" borderId="7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1" fontId="5" fillId="4" borderId="0" xfId="0" applyNumberFormat="1" applyFont="1" applyFill="1" applyAlignment="1">
      <alignment horizontal="center" vertical="top" shrinkToFit="1"/>
    </xf>
    <xf numFmtId="2" fontId="16" fillId="0" borderId="5" xfId="0" applyNumberFormat="1" applyFont="1" applyBorder="1" applyAlignment="1">
      <alignment vertical="top" wrapText="1"/>
    </xf>
    <xf numFmtId="164" fontId="4" fillId="0" borderId="5" xfId="0" applyNumberFormat="1" applyFont="1" applyBorder="1" applyAlignment="1">
      <alignment horizontal="right" vertical="top" indent="2" shrinkToFit="1"/>
    </xf>
    <xf numFmtId="2" fontId="0" fillId="0" borderId="0" xfId="0" applyNumberFormat="1" applyAlignment="1">
      <alignment horizontal="left" wrapText="1"/>
    </xf>
    <xf numFmtId="2" fontId="0" fillId="0" borderId="9" xfId="0" applyNumberFormat="1" applyBorder="1" applyAlignment="1">
      <alignment horizontal="left" wrapText="1"/>
    </xf>
    <xf numFmtId="0" fontId="0" fillId="11" borderId="0" xfId="0" applyFill="1" applyAlignment="1">
      <alignment horizontal="center" vertical="top"/>
    </xf>
    <xf numFmtId="0" fontId="42" fillId="0" borderId="0" xfId="0" applyFont="1" applyAlignment="1">
      <alignment horizontal="left" vertical="top"/>
    </xf>
    <xf numFmtId="0" fontId="0" fillId="11" borderId="0" xfId="0" applyFill="1" applyAlignment="1">
      <alignment horizontal="left" vertical="top"/>
    </xf>
    <xf numFmtId="0" fontId="43" fillId="0" borderId="0" xfId="0" applyFont="1" applyAlignment="1">
      <alignment horizontal="center" vertical="top"/>
    </xf>
    <xf numFmtId="2" fontId="43" fillId="0" borderId="0" xfId="0" applyNumberFormat="1" applyFont="1" applyAlignment="1">
      <alignment horizontal="center" vertical="top"/>
    </xf>
    <xf numFmtId="1" fontId="43" fillId="0" borderId="0" xfId="0" applyNumberFormat="1" applyFont="1" applyAlignment="1">
      <alignment horizontal="center" vertical="top"/>
    </xf>
    <xf numFmtId="2" fontId="0" fillId="0" borderId="0" xfId="0" applyNumberFormat="1" applyAlignment="1">
      <alignment horizontal="left" vertical="top"/>
    </xf>
    <xf numFmtId="164" fontId="39" fillId="7" borderId="24" xfId="1" applyNumberFormat="1" applyAlignment="1">
      <alignment horizontal="left"/>
    </xf>
    <xf numFmtId="0" fontId="42" fillId="11" borderId="0" xfId="0" applyFont="1" applyFill="1" applyAlignment="1">
      <alignment horizontal="center" vertical="top"/>
    </xf>
    <xf numFmtId="0" fontId="42" fillId="13" borderId="0" xfId="0" applyFont="1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42" fillId="14" borderId="0" xfId="0" applyFont="1" applyFill="1" applyAlignment="1">
      <alignment horizontal="center" vertical="top"/>
    </xf>
    <xf numFmtId="0" fontId="0" fillId="1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44" fillId="12" borderId="0" xfId="0" applyFont="1" applyFill="1" applyAlignment="1">
      <alignment horizontal="center" vertical="top"/>
    </xf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left" vertical="top"/>
    </xf>
    <xf numFmtId="164" fontId="0" fillId="0" borderId="0" xfId="0" applyNumberFormat="1" applyFill="1" applyAlignment="1">
      <alignment horizontal="left" vertical="top"/>
    </xf>
    <xf numFmtId="2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20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164" fontId="0" fillId="0" borderId="0" xfId="0" applyNumberFormat="1" applyFill="1" applyAlignment="1">
      <alignment horizontal="center" vertical="top"/>
    </xf>
    <xf numFmtId="1" fontId="0" fillId="12" borderId="0" xfId="0" applyNumberFormat="1" applyFill="1" applyAlignment="1">
      <alignment horizontal="center" vertical="top"/>
    </xf>
    <xf numFmtId="0" fontId="42" fillId="12" borderId="0" xfId="0" applyFont="1" applyFill="1" applyAlignment="1">
      <alignment horizontal="left" vertical="top"/>
    </xf>
    <xf numFmtId="0" fontId="0" fillId="12" borderId="0" xfId="0" applyFill="1" applyAlignment="1">
      <alignment horizontal="left" vertical="top"/>
    </xf>
  </cellXfs>
  <cellStyles count="3">
    <cellStyle name="Entrada" xfId="1" builtinId="20"/>
    <cellStyle name="Normal" xfId="0" builtinId="0"/>
    <cellStyle name="Saída" xfId="2" builtinId="21"/>
  </cellStyles>
  <dxfs count="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7620</xdr:rowOff>
        </xdr:from>
        <xdr:to>
          <xdr:col>12</xdr:col>
          <xdr:colOff>15240</xdr:colOff>
          <xdr:row>4</xdr:row>
          <xdr:rowOff>7620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Procurar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213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293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373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373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0D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A1:Z20"/>
  <sheetViews>
    <sheetView workbookViewId="0">
      <selection activeCell="J18" sqref="J18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7" width="7.21875" customWidth="1"/>
    <col min="8" max="8" width="22.33203125" customWidth="1"/>
    <col min="9" max="9" width="4" customWidth="1"/>
    <col min="10" max="10" width="4.109375" customWidth="1"/>
    <col min="11" max="11" width="11" customWidth="1"/>
    <col min="12" max="12" width="6.44140625" customWidth="1"/>
    <col min="13" max="13" width="6.6640625" customWidth="1"/>
    <col min="14" max="14" width="6.5546875" customWidth="1"/>
    <col min="15" max="15" width="6.109375" customWidth="1"/>
    <col min="16" max="16" width="6.5546875" customWidth="1"/>
    <col min="17" max="17" width="6.33203125" customWidth="1"/>
    <col min="18" max="18" width="6.109375" customWidth="1"/>
    <col min="20" max="20" width="5.44140625" customWidth="1"/>
    <col min="21" max="21" width="7.109375" customWidth="1"/>
    <col min="22" max="23" width="6.5546875" customWidth="1"/>
    <col min="24" max="24" width="6" customWidth="1"/>
    <col min="25" max="25" width="6.21875" customWidth="1"/>
    <col min="26" max="26" width="6.109375" customWidth="1"/>
  </cols>
  <sheetData>
    <row r="1" spans="1:26">
      <c r="A1" s="594"/>
      <c r="B1" s="594"/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</row>
    <row r="2" spans="1:26">
      <c r="A2" s="594"/>
      <c r="B2" s="594" t="s">
        <v>807</v>
      </c>
      <c r="C2" s="594"/>
      <c r="D2" s="594"/>
      <c r="E2" s="594"/>
      <c r="F2" s="594"/>
      <c r="G2" s="594"/>
      <c r="H2" s="594"/>
      <c r="I2" s="594"/>
      <c r="J2" s="594"/>
      <c r="K2" s="594" t="s">
        <v>808</v>
      </c>
      <c r="L2" s="594"/>
      <c r="M2" s="594"/>
      <c r="N2" s="594"/>
      <c r="O2" s="594"/>
      <c r="P2" s="594"/>
      <c r="Q2" s="594"/>
      <c r="R2" s="594"/>
      <c r="S2" s="594" t="s">
        <v>808</v>
      </c>
      <c r="T2" s="594"/>
      <c r="U2" s="594"/>
      <c r="V2" s="594"/>
      <c r="W2" s="594"/>
      <c r="X2" s="594"/>
      <c r="Y2" s="594"/>
      <c r="Z2" s="594"/>
    </row>
    <row r="3" spans="1:26">
      <c r="A3" s="594"/>
      <c r="B3" s="595" t="s">
        <v>786</v>
      </c>
      <c r="C3" s="594" t="s">
        <v>762</v>
      </c>
      <c r="D3" s="596">
        <v>22.399999618530273</v>
      </c>
      <c r="E3" s="594" t="s">
        <v>764</v>
      </c>
      <c r="F3" s="602">
        <v>238</v>
      </c>
      <c r="G3" s="598">
        <v>329</v>
      </c>
      <c r="H3" s="599" t="s">
        <v>765</v>
      </c>
      <c r="I3" s="598">
        <v>11</v>
      </c>
      <c r="J3" s="598">
        <v>11</v>
      </c>
      <c r="K3" s="594" t="s">
        <v>766</v>
      </c>
      <c r="L3" s="434">
        <v>161</v>
      </c>
      <c r="M3" s="594" t="s">
        <v>767</v>
      </c>
      <c r="N3" s="598">
        <v>404</v>
      </c>
      <c r="O3" s="594" t="s">
        <v>768</v>
      </c>
      <c r="P3" s="598">
        <v>478</v>
      </c>
      <c r="Q3" s="594" t="s">
        <v>769</v>
      </c>
      <c r="R3" s="598">
        <v>693</v>
      </c>
      <c r="S3" s="594" t="s">
        <v>766</v>
      </c>
      <c r="T3" s="434">
        <v>161</v>
      </c>
      <c r="U3" s="594" t="s">
        <v>767</v>
      </c>
      <c r="V3" s="598">
        <v>404</v>
      </c>
      <c r="W3" s="594" t="s">
        <v>768</v>
      </c>
      <c r="X3" s="598">
        <v>478</v>
      </c>
      <c r="Y3" s="594" t="s">
        <v>769</v>
      </c>
      <c r="Z3" s="598">
        <v>693</v>
      </c>
    </row>
    <row r="4" spans="1:26">
      <c r="A4" s="594"/>
      <c r="B4" s="594" t="s">
        <v>787</v>
      </c>
      <c r="C4" s="594" t="s">
        <v>788</v>
      </c>
      <c r="D4" s="596">
        <v>23.529411315917969</v>
      </c>
      <c r="E4" s="594" t="s">
        <v>789</v>
      </c>
      <c r="F4" s="600">
        <v>303.14999389648438</v>
      </c>
      <c r="G4" s="600"/>
      <c r="H4" s="598"/>
      <c r="I4" s="598"/>
      <c r="J4" s="598"/>
      <c r="K4" s="594" t="s">
        <v>809</v>
      </c>
      <c r="L4" s="598"/>
      <c r="M4" s="594"/>
      <c r="N4" s="598"/>
      <c r="O4" s="594"/>
      <c r="P4" s="598"/>
      <c r="Q4" s="594"/>
      <c r="R4" s="598"/>
      <c r="S4" s="594" t="s">
        <v>810</v>
      </c>
      <c r="T4" s="598"/>
      <c r="U4" s="594"/>
      <c r="V4" s="598"/>
      <c r="W4" s="594"/>
      <c r="X4" s="598"/>
      <c r="Y4" s="594"/>
      <c r="Z4" s="598"/>
    </row>
    <row r="5" spans="1:26">
      <c r="A5" s="594"/>
      <c r="B5" s="594" t="s">
        <v>763</v>
      </c>
      <c r="C5" s="594" t="s">
        <v>762</v>
      </c>
      <c r="D5" s="596">
        <v>25</v>
      </c>
      <c r="E5" s="594" t="s">
        <v>764</v>
      </c>
      <c r="F5" s="602">
        <v>212</v>
      </c>
      <c r="G5" s="598">
        <v>370</v>
      </c>
      <c r="H5" s="599" t="s">
        <v>765</v>
      </c>
      <c r="I5" s="598">
        <v>10</v>
      </c>
      <c r="J5" s="598">
        <v>12</v>
      </c>
      <c r="K5" s="594" t="s">
        <v>766</v>
      </c>
      <c r="L5" s="434">
        <v>119</v>
      </c>
      <c r="M5" s="594" t="s">
        <v>767</v>
      </c>
      <c r="N5" s="434">
        <v>262</v>
      </c>
      <c r="O5" s="594" t="s">
        <v>768</v>
      </c>
      <c r="P5" s="598">
        <v>365</v>
      </c>
      <c r="Q5" s="594" t="s">
        <v>769</v>
      </c>
      <c r="R5" s="598">
        <v>490</v>
      </c>
      <c r="S5" s="594" t="s">
        <v>766</v>
      </c>
      <c r="T5" s="434">
        <v>195</v>
      </c>
      <c r="U5" s="594" t="s">
        <v>767</v>
      </c>
      <c r="V5" s="598">
        <v>478</v>
      </c>
      <c r="W5" s="594" t="s">
        <v>768</v>
      </c>
      <c r="X5" s="598">
        <v>558</v>
      </c>
      <c r="Y5" s="594" t="s">
        <v>769</v>
      </c>
      <c r="Z5" s="598">
        <v>810</v>
      </c>
    </row>
    <row r="6" spans="1:26">
      <c r="A6" s="594"/>
      <c r="B6" s="595"/>
      <c r="C6" s="594"/>
      <c r="D6" s="598"/>
      <c r="E6" s="594"/>
      <c r="F6" s="598"/>
      <c r="G6" s="594"/>
      <c r="H6" s="598"/>
      <c r="I6" s="598"/>
      <c r="J6" s="598"/>
      <c r="K6" s="594"/>
      <c r="L6" s="594"/>
      <c r="M6" s="594"/>
      <c r="N6" s="594"/>
      <c r="O6" s="594"/>
      <c r="P6" s="594"/>
      <c r="Q6" s="594"/>
      <c r="R6" s="594"/>
      <c r="S6" s="594"/>
      <c r="T6" s="594"/>
      <c r="U6" s="594"/>
      <c r="V6" s="594"/>
      <c r="W6" s="594"/>
      <c r="X6" s="594"/>
      <c r="Y6" s="594"/>
      <c r="Z6" s="594"/>
    </row>
    <row r="7" spans="1:26">
      <c r="A7" s="594"/>
      <c r="B7" s="594"/>
      <c r="C7" s="594"/>
      <c r="D7" s="598"/>
      <c r="E7" s="594"/>
      <c r="F7" s="598"/>
      <c r="G7" s="594"/>
      <c r="H7" s="598"/>
      <c r="I7" s="598"/>
      <c r="J7" s="598"/>
      <c r="K7" s="594"/>
      <c r="L7" s="594"/>
      <c r="M7" s="594"/>
      <c r="N7" s="594"/>
      <c r="O7" s="594"/>
      <c r="P7" s="594"/>
      <c r="Q7" s="594"/>
      <c r="R7" s="594"/>
      <c r="S7" s="594"/>
      <c r="T7" s="594"/>
      <c r="U7" s="594"/>
      <c r="V7" s="594"/>
      <c r="W7" s="594"/>
      <c r="X7" s="594"/>
      <c r="Y7" s="594"/>
      <c r="Z7" s="594"/>
    </row>
    <row r="8" spans="1:26">
      <c r="A8" s="594"/>
      <c r="B8" s="594" t="s">
        <v>790</v>
      </c>
      <c r="C8" s="594"/>
      <c r="D8" s="601"/>
      <c r="E8" s="594"/>
      <c r="F8" s="598"/>
      <c r="G8" s="594"/>
      <c r="H8" s="598"/>
      <c r="I8" s="598"/>
      <c r="J8" s="598"/>
      <c r="K8" s="594" t="s">
        <v>808</v>
      </c>
      <c r="L8" s="594"/>
      <c r="M8" s="594"/>
      <c r="N8" s="594"/>
      <c r="O8" s="594"/>
      <c r="P8" s="594"/>
      <c r="Q8" s="594"/>
      <c r="R8" s="594"/>
      <c r="S8" s="594" t="s">
        <v>812</v>
      </c>
      <c r="T8" s="594"/>
      <c r="U8" s="594"/>
      <c r="V8" s="594"/>
      <c r="W8" s="594"/>
      <c r="X8" s="594"/>
      <c r="Y8" s="594"/>
      <c r="Z8" s="594"/>
    </row>
    <row r="9" spans="1:26">
      <c r="A9" s="594"/>
      <c r="B9" s="595" t="s">
        <v>786</v>
      </c>
      <c r="C9" s="594" t="s">
        <v>762</v>
      </c>
      <c r="D9" s="596">
        <v>22.399999618530273</v>
      </c>
      <c r="E9" s="594" t="s">
        <v>764</v>
      </c>
      <c r="F9" s="597" t="s">
        <v>811</v>
      </c>
      <c r="G9" s="598">
        <v>497</v>
      </c>
      <c r="H9" s="598" t="s">
        <v>765</v>
      </c>
      <c r="I9" s="598">
        <v>11</v>
      </c>
      <c r="J9" s="598">
        <v>13</v>
      </c>
      <c r="K9" s="594" t="s">
        <v>766</v>
      </c>
      <c r="L9" s="603" t="s">
        <v>536</v>
      </c>
      <c r="M9" s="594" t="s">
        <v>767</v>
      </c>
      <c r="N9" s="604" t="s">
        <v>536</v>
      </c>
      <c r="O9" s="594" t="s">
        <v>768</v>
      </c>
      <c r="P9" s="604" t="s">
        <v>536</v>
      </c>
      <c r="Q9" s="594" t="s">
        <v>769</v>
      </c>
      <c r="R9" s="604" t="s">
        <v>536</v>
      </c>
      <c r="S9" s="594" t="s">
        <v>766</v>
      </c>
      <c r="T9" s="436">
        <v>203</v>
      </c>
      <c r="U9" s="594" t="s">
        <v>767</v>
      </c>
      <c r="V9" s="594">
        <v>346</v>
      </c>
      <c r="W9" s="594" t="s">
        <v>768</v>
      </c>
      <c r="X9" s="594">
        <v>509</v>
      </c>
      <c r="Y9" s="594" t="s">
        <v>769</v>
      </c>
      <c r="Z9" s="594">
        <v>636</v>
      </c>
    </row>
    <row r="10" spans="1:26">
      <c r="A10" s="594"/>
      <c r="B10" s="594" t="s">
        <v>787</v>
      </c>
      <c r="C10" s="594" t="s">
        <v>788</v>
      </c>
      <c r="D10" s="596">
        <v>23.529411315917969</v>
      </c>
      <c r="E10" s="594" t="s">
        <v>789</v>
      </c>
      <c r="F10" s="600">
        <v>303.14999389648438</v>
      </c>
      <c r="G10" s="600"/>
      <c r="H10" s="598"/>
      <c r="I10" s="598"/>
      <c r="J10" s="598"/>
      <c r="K10" s="594" t="s">
        <v>813</v>
      </c>
      <c r="L10" s="594"/>
      <c r="M10" s="594"/>
      <c r="N10" s="594"/>
      <c r="O10" s="594"/>
      <c r="P10" s="594"/>
      <c r="Q10" s="594"/>
      <c r="R10" s="594"/>
      <c r="S10" s="594" t="s">
        <v>814</v>
      </c>
      <c r="T10" s="594"/>
      <c r="U10" s="594"/>
      <c r="V10" s="594"/>
      <c r="W10" s="594"/>
      <c r="X10" s="594"/>
      <c r="Y10" s="594"/>
      <c r="Z10" s="594"/>
    </row>
    <row r="11" spans="1:26">
      <c r="A11" s="594"/>
      <c r="B11" s="594" t="s">
        <v>763</v>
      </c>
      <c r="C11" s="594" t="s">
        <v>762</v>
      </c>
      <c r="D11" s="596">
        <v>25</v>
      </c>
      <c r="E11" s="594" t="s">
        <v>764</v>
      </c>
      <c r="F11" s="597">
        <v>179</v>
      </c>
      <c r="G11" s="598">
        <v>319</v>
      </c>
      <c r="H11" s="594" t="s">
        <v>765</v>
      </c>
      <c r="I11" s="598">
        <v>9</v>
      </c>
      <c r="J11" s="598">
        <v>11</v>
      </c>
      <c r="K11" s="594" t="s">
        <v>766</v>
      </c>
      <c r="L11" s="436">
        <v>119</v>
      </c>
      <c r="M11" s="594" t="s">
        <v>767</v>
      </c>
      <c r="N11" s="436">
        <v>207</v>
      </c>
      <c r="O11" s="594" t="s">
        <v>768</v>
      </c>
      <c r="P11" s="436">
        <v>251</v>
      </c>
      <c r="Q11" s="594" t="s">
        <v>769</v>
      </c>
      <c r="R11" s="594">
        <v>330</v>
      </c>
      <c r="S11" s="594" t="s">
        <v>766</v>
      </c>
      <c r="T11" s="436">
        <v>168</v>
      </c>
      <c r="U11" s="594" t="s">
        <v>767</v>
      </c>
      <c r="V11" s="436">
        <v>308</v>
      </c>
      <c r="W11" s="594" t="s">
        <v>768</v>
      </c>
      <c r="X11" s="594">
        <v>445</v>
      </c>
      <c r="Y11" s="594" t="s">
        <v>769</v>
      </c>
      <c r="Z11" s="594">
        <v>569</v>
      </c>
    </row>
    <row r="12" spans="1:26">
      <c r="A12" s="594"/>
      <c r="B12" s="595"/>
      <c r="C12" s="594"/>
      <c r="D12" s="594"/>
      <c r="E12" s="594"/>
      <c r="F12" s="594"/>
      <c r="G12" s="594"/>
      <c r="H12" s="594"/>
      <c r="I12" s="594"/>
      <c r="J12" s="594"/>
      <c r="K12" s="594"/>
      <c r="L12" s="594"/>
      <c r="M12" s="594"/>
      <c r="N12" s="594"/>
      <c r="O12" s="594"/>
      <c r="P12" s="594"/>
      <c r="Q12" s="594"/>
      <c r="R12" s="594"/>
      <c r="S12" s="594"/>
      <c r="T12" s="594"/>
      <c r="U12" s="594"/>
      <c r="V12" s="594"/>
      <c r="W12" s="594"/>
      <c r="X12" s="594"/>
      <c r="Y12" s="594"/>
      <c r="Z12" s="594"/>
    </row>
    <row r="13" spans="1:26">
      <c r="A13" s="594"/>
      <c r="B13" s="594"/>
      <c r="C13" s="594"/>
      <c r="D13" s="594"/>
      <c r="E13" s="594"/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</row>
    <row r="14" spans="1:26">
      <c r="A14" s="594"/>
      <c r="B14" s="594"/>
      <c r="C14" s="594"/>
      <c r="D14" s="594"/>
      <c r="E14" s="594"/>
      <c r="F14" s="594"/>
      <c r="G14" s="594"/>
      <c r="H14" s="594"/>
      <c r="I14" s="594"/>
      <c r="J14" s="594"/>
      <c r="K14" s="594"/>
      <c r="L14" s="594"/>
      <c r="M14" s="594"/>
      <c r="N14" s="594"/>
      <c r="O14" s="594"/>
      <c r="P14" s="594"/>
      <c r="Q14" s="594"/>
      <c r="R14" s="594"/>
      <c r="S14" s="594"/>
      <c r="T14" s="594"/>
      <c r="U14" s="594"/>
      <c r="V14" s="594"/>
      <c r="W14" s="594"/>
      <c r="X14" s="594"/>
      <c r="Y14" s="594"/>
      <c r="Z14" s="594"/>
    </row>
    <row r="15" spans="1:26">
      <c r="A15" s="594"/>
      <c r="B15" s="594"/>
      <c r="C15" s="594"/>
      <c r="D15" s="594"/>
      <c r="E15" s="594"/>
      <c r="F15" s="594"/>
      <c r="G15" s="594"/>
      <c r="H15" s="594"/>
      <c r="I15" s="594"/>
      <c r="J15" s="594"/>
      <c r="K15" s="594"/>
      <c r="L15" s="594"/>
      <c r="M15" s="594"/>
      <c r="N15" s="594"/>
      <c r="O15" s="594"/>
      <c r="P15" s="594"/>
      <c r="Q15" s="594"/>
      <c r="R15" s="594"/>
      <c r="S15" s="594"/>
      <c r="T15" s="594"/>
      <c r="U15" s="594"/>
      <c r="V15" s="594"/>
      <c r="W15" s="594"/>
      <c r="X15" s="594"/>
      <c r="Y15" s="594"/>
      <c r="Z15" s="594"/>
    </row>
    <row r="16" spans="1:26">
      <c r="A16" s="594"/>
      <c r="B16" s="594"/>
      <c r="C16" s="594"/>
      <c r="D16" s="594"/>
      <c r="E16" s="594"/>
      <c r="F16" s="594"/>
      <c r="G16" s="594"/>
      <c r="H16" s="594"/>
      <c r="I16" s="594"/>
      <c r="J16" s="594"/>
      <c r="K16" s="594"/>
      <c r="L16" s="594"/>
      <c r="M16" s="594"/>
      <c r="N16" s="594"/>
      <c r="O16" s="594"/>
      <c r="P16" s="594"/>
      <c r="Q16" s="594"/>
      <c r="R16" s="594"/>
      <c r="S16" s="594"/>
      <c r="T16" s="594"/>
      <c r="U16" s="594"/>
      <c r="V16" s="594"/>
      <c r="W16" s="594"/>
      <c r="X16" s="594"/>
      <c r="Y16" s="594"/>
      <c r="Z16" s="594"/>
    </row>
    <row r="17" spans="1:26">
      <c r="A17" s="594"/>
      <c r="B17" s="594"/>
      <c r="C17" s="594"/>
      <c r="D17" s="594"/>
      <c r="E17" s="594"/>
      <c r="F17" s="594"/>
      <c r="G17" s="594"/>
      <c r="H17" s="594"/>
      <c r="I17" s="594"/>
      <c r="J17" s="594"/>
      <c r="K17" s="594"/>
      <c r="L17" s="594"/>
      <c r="M17" s="594"/>
      <c r="N17" s="594"/>
      <c r="O17" s="594"/>
      <c r="P17" s="594"/>
      <c r="Q17" s="594"/>
      <c r="R17" s="594"/>
      <c r="S17" s="594"/>
      <c r="T17" s="594"/>
      <c r="U17" s="594"/>
      <c r="V17" s="594"/>
      <c r="W17" s="594"/>
      <c r="X17" s="594"/>
      <c r="Y17" s="594"/>
      <c r="Z17" s="594"/>
    </row>
    <row r="18" spans="1:26">
      <c r="A18" s="594"/>
      <c r="B18" s="594"/>
      <c r="C18" s="594"/>
      <c r="D18" s="594"/>
      <c r="E18" s="594"/>
      <c r="F18" s="594"/>
      <c r="G18" s="594"/>
      <c r="H18" s="594"/>
      <c r="I18" s="594"/>
      <c r="J18" s="594"/>
      <c r="K18" s="594"/>
      <c r="L18" s="594"/>
      <c r="M18" s="594"/>
      <c r="N18" s="594"/>
      <c r="O18" s="594"/>
      <c r="P18" s="594"/>
      <c r="Q18" s="594"/>
      <c r="R18" s="594"/>
      <c r="S18" s="594"/>
      <c r="T18" s="594"/>
      <c r="U18" s="594"/>
      <c r="V18" s="594"/>
      <c r="W18" s="594"/>
      <c r="X18" s="594"/>
      <c r="Y18" s="594"/>
      <c r="Z18" s="594"/>
    </row>
    <row r="19" spans="1:26">
      <c r="A19" s="594"/>
      <c r="B19" s="594"/>
      <c r="C19" s="594"/>
      <c r="D19" s="594"/>
      <c r="E19" s="594"/>
      <c r="F19" s="594"/>
      <c r="G19" s="594"/>
      <c r="H19" s="594"/>
      <c r="I19" s="594"/>
      <c r="J19" s="594"/>
      <c r="K19" s="594"/>
      <c r="L19" s="594"/>
      <c r="M19" s="594"/>
      <c r="N19" s="594"/>
      <c r="O19" s="594"/>
      <c r="P19" s="594"/>
      <c r="Q19" s="594"/>
      <c r="R19" s="594"/>
      <c r="S19" s="594"/>
      <c r="T19" s="594"/>
      <c r="U19" s="594"/>
      <c r="V19" s="594"/>
      <c r="W19" s="594"/>
      <c r="X19" s="594"/>
      <c r="Y19" s="594"/>
      <c r="Z19" s="594"/>
    </row>
    <row r="20" spans="1:26">
      <c r="A20" s="594"/>
      <c r="B20" s="594"/>
      <c r="C20" s="594"/>
      <c r="D20" s="594"/>
      <c r="E20" s="594"/>
      <c r="F20" s="594"/>
      <c r="G20" s="594"/>
      <c r="H20" s="594"/>
      <c r="I20" s="594"/>
      <c r="J20" s="594"/>
      <c r="K20" s="594"/>
      <c r="L20" s="594"/>
      <c r="M20" s="594"/>
      <c r="N20" s="594"/>
      <c r="O20" s="594"/>
      <c r="P20" s="594"/>
      <c r="Q20" s="594"/>
      <c r="R20" s="594"/>
      <c r="S20" s="594"/>
      <c r="T20" s="594"/>
      <c r="U20" s="594"/>
      <c r="V20" s="594"/>
      <c r="W20" s="594"/>
      <c r="X20" s="594"/>
      <c r="Y20" s="594"/>
      <c r="Z20" s="594"/>
    </row>
  </sheetData>
  <mergeCells count="2">
    <mergeCell ref="F4:G4"/>
    <mergeCell ref="F10:G1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U27"/>
  <sheetViews>
    <sheetView tabSelected="1" workbookViewId="0">
      <selection activeCell="K24" sqref="K24"/>
    </sheetView>
  </sheetViews>
  <sheetFormatPr defaultRowHeight="13.2"/>
  <cols>
    <col min="8" max="8" width="18.44140625" customWidth="1"/>
    <col min="10" max="10" width="12.77734375" customWidth="1"/>
    <col min="11" max="11" width="12.5546875" customWidth="1"/>
    <col min="14" max="14" width="12.109375" customWidth="1"/>
    <col min="15" max="15" width="9.5546875" customWidth="1"/>
  </cols>
  <sheetData>
    <row r="3" spans="2:21" ht="14.4">
      <c r="B3" t="s">
        <v>774</v>
      </c>
      <c r="G3" t="s">
        <v>567</v>
      </c>
      <c r="H3" s="423">
        <v>202.1</v>
      </c>
      <c r="I3" s="422" t="s">
        <v>572</v>
      </c>
      <c r="N3" s="437" t="str">
        <f>PlanilhaOutputs!B2</f>
        <v xml:space="preserve"> Tipo: H2</v>
      </c>
      <c r="O3" s="437" t="s">
        <v>791</v>
      </c>
      <c r="P3" s="437" t="s">
        <v>792</v>
      </c>
      <c r="Q3" s="437" t="s">
        <v>793</v>
      </c>
      <c r="R3" s="437" t="s">
        <v>794</v>
      </c>
      <c r="S3" s="437" t="s">
        <v>798</v>
      </c>
      <c r="T3" s="437" t="s">
        <v>799</v>
      </c>
      <c r="U3" s="437" t="s">
        <v>800</v>
      </c>
    </row>
    <row r="4" spans="2:21" ht="14.4">
      <c r="B4" t="s">
        <v>775</v>
      </c>
      <c r="G4" t="s">
        <v>568</v>
      </c>
      <c r="H4" s="424">
        <v>220</v>
      </c>
      <c r="I4" s="422" t="s">
        <v>572</v>
      </c>
      <c r="N4" s="437" t="s">
        <v>777</v>
      </c>
      <c r="O4" s="438">
        <f>PlanilhaOutputs!D3</f>
        <v>22.399999618530273</v>
      </c>
      <c r="P4" s="439">
        <f>PlanilhaOutputs!F3</f>
        <v>238</v>
      </c>
      <c r="Q4" s="437">
        <f>PlanilhaOutputs!I3</f>
        <v>11</v>
      </c>
      <c r="R4" s="437">
        <f>PlanilhaOutputs!L3</f>
        <v>161</v>
      </c>
      <c r="S4" s="437">
        <f>PlanilhaOutputs!N3</f>
        <v>404</v>
      </c>
      <c r="T4" s="437">
        <f>PlanilhaOutputs!P3</f>
        <v>478</v>
      </c>
      <c r="U4" s="437">
        <f>PlanilhaOutputs!R3</f>
        <v>693</v>
      </c>
    </row>
    <row r="5" spans="2:21" ht="14.4">
      <c r="B5" t="s">
        <v>564</v>
      </c>
      <c r="G5" t="s">
        <v>569</v>
      </c>
      <c r="H5" s="424">
        <v>1200</v>
      </c>
      <c r="I5" s="422" t="s">
        <v>573</v>
      </c>
      <c r="N5" s="437" t="s">
        <v>778</v>
      </c>
      <c r="O5" s="438">
        <f>PlanilhaOutputs!D3</f>
        <v>22.399999618530273</v>
      </c>
      <c r="P5" s="437">
        <f>PlanilhaOutputs!G3</f>
        <v>329</v>
      </c>
      <c r="Q5" s="437">
        <f>PlanilhaOutputs!J3</f>
        <v>11</v>
      </c>
      <c r="R5" s="437">
        <f>PlanilhaOutputs!T3</f>
        <v>161</v>
      </c>
      <c r="S5" s="437">
        <f>PlanilhaOutputs!T3</f>
        <v>161</v>
      </c>
      <c r="T5" s="437">
        <f>PlanilhaOutputs!X3</f>
        <v>478</v>
      </c>
      <c r="U5" s="437">
        <f>PlanilhaOutputs!Z3</f>
        <v>693</v>
      </c>
    </row>
    <row r="6" spans="2:21" ht="14.4">
      <c r="B6" t="s">
        <v>565</v>
      </c>
      <c r="G6" t="s">
        <v>570</v>
      </c>
      <c r="H6" s="423">
        <v>51</v>
      </c>
      <c r="I6" s="422" t="s">
        <v>573</v>
      </c>
      <c r="N6" s="437" t="s">
        <v>779</v>
      </c>
      <c r="O6" s="438">
        <f>PlanilhaOutputs!D5</f>
        <v>25</v>
      </c>
      <c r="P6" s="439">
        <f>PlanilhaOutputs!F5</f>
        <v>212</v>
      </c>
      <c r="Q6" s="437">
        <f>PlanilhaOutputs!I5</f>
        <v>10</v>
      </c>
      <c r="R6" s="437">
        <f>PlanilhaOutputs!L5</f>
        <v>119</v>
      </c>
      <c r="S6" s="437">
        <f>PlanilhaOutputs!N5</f>
        <v>262</v>
      </c>
      <c r="T6" s="437">
        <f>PlanilhaOutputs!P5</f>
        <v>365</v>
      </c>
      <c r="U6" s="437">
        <f>PlanilhaOutputs!R5</f>
        <v>490</v>
      </c>
    </row>
    <row r="7" spans="2:21" ht="14.4">
      <c r="B7" s="435" t="s">
        <v>566</v>
      </c>
      <c r="G7" t="s">
        <v>571</v>
      </c>
      <c r="H7" s="424">
        <f>H5/H6</f>
        <v>23.529411764705884</v>
      </c>
      <c r="N7" s="437" t="s">
        <v>780</v>
      </c>
      <c r="O7" s="438">
        <f>PlanilhaOutputs!D5</f>
        <v>25</v>
      </c>
      <c r="P7" s="437">
        <f>PlanilhaOutputs!G5</f>
        <v>370</v>
      </c>
      <c r="Q7" s="437">
        <f>PlanilhaOutputs!J5</f>
        <v>12</v>
      </c>
      <c r="R7" s="437">
        <f>PlanilhaOutputs!T5</f>
        <v>195</v>
      </c>
      <c r="S7" s="437">
        <f>PlanilhaOutputs!V5</f>
        <v>478</v>
      </c>
      <c r="T7" s="437">
        <f>PlanilhaOutputs!X5</f>
        <v>558</v>
      </c>
      <c r="U7" s="437">
        <f>PlanilhaOutputs!Z5</f>
        <v>810</v>
      </c>
    </row>
    <row r="8" spans="2:21" ht="13.8">
      <c r="H8" s="425"/>
      <c r="N8" s="437"/>
      <c r="O8" s="437"/>
      <c r="P8" s="437"/>
      <c r="Q8" s="437"/>
      <c r="R8" s="437"/>
      <c r="S8" s="437"/>
      <c r="T8" s="437"/>
      <c r="U8" s="437"/>
    </row>
    <row r="9" spans="2:21" ht="13.8">
      <c r="H9" s="425"/>
      <c r="J9" s="448" t="s">
        <v>806</v>
      </c>
      <c r="K9" s="448"/>
      <c r="M9">
        <f>3.33*H3</f>
        <v>672.99300000000005</v>
      </c>
      <c r="N9" s="437" t="str">
        <f>PlanilhaOutputs!B8</f>
        <v xml:space="preserve"> Tipo: H3</v>
      </c>
      <c r="O9" s="437" t="s">
        <v>791</v>
      </c>
      <c r="P9" s="437" t="s">
        <v>792</v>
      </c>
      <c r="Q9" s="437" t="s">
        <v>793</v>
      </c>
      <c r="R9" s="437" t="s">
        <v>794</v>
      </c>
      <c r="S9" s="437" t="s">
        <v>798</v>
      </c>
      <c r="T9" s="437" t="s">
        <v>799</v>
      </c>
      <c r="U9" s="437" t="s">
        <v>800</v>
      </c>
    </row>
    <row r="10" spans="2:21" ht="14.4">
      <c r="B10" t="s">
        <v>574</v>
      </c>
      <c r="G10" t="s">
        <v>575</v>
      </c>
      <c r="H10" s="426">
        <f>(H3*9550/H6)/1000</f>
        <v>37.844215686274509</v>
      </c>
      <c r="I10" t="s">
        <v>581</v>
      </c>
      <c r="J10" s="442" t="s">
        <v>803</v>
      </c>
      <c r="K10" s="442"/>
      <c r="N10" s="437" t="s">
        <v>777</v>
      </c>
      <c r="O10" s="438">
        <f>PlanilhaOutputs!D9</f>
        <v>22.399999618530273</v>
      </c>
      <c r="P10" s="437" t="str">
        <f>PlanilhaOutputs!F9</f>
        <v>-</v>
      </c>
      <c r="Q10" s="437">
        <f>PlanilhaOutputs!I9</f>
        <v>11</v>
      </c>
      <c r="R10" s="437" t="str">
        <f>PlanilhaOutputs!L9</f>
        <v>–</v>
      </c>
      <c r="S10" s="437" t="str">
        <f>PlanilhaOutputs!N9</f>
        <v>–</v>
      </c>
      <c r="T10" s="437" t="str">
        <f>PlanilhaOutputs!P9</f>
        <v>–</v>
      </c>
      <c r="U10" s="437" t="str">
        <f>PlanilhaOutputs!R9</f>
        <v>–</v>
      </c>
    </row>
    <row r="11" spans="2:21" ht="13.8">
      <c r="H11" s="425"/>
      <c r="J11" s="443" t="s">
        <v>805</v>
      </c>
      <c r="K11" s="444"/>
      <c r="N11" s="437" t="s">
        <v>778</v>
      </c>
      <c r="O11" s="438">
        <f>PlanilhaOutputs!D9</f>
        <v>22.399999618530273</v>
      </c>
      <c r="P11" s="437">
        <f>PlanilhaOutputs!G9</f>
        <v>497</v>
      </c>
      <c r="Q11" s="437">
        <f>PlanilhaOutputs!J9</f>
        <v>13</v>
      </c>
      <c r="R11" s="437">
        <f>PlanilhaOutputs!T9</f>
        <v>203</v>
      </c>
      <c r="S11" s="437">
        <f>PlanilhaOutputs!V9</f>
        <v>346</v>
      </c>
      <c r="T11" s="437">
        <f>PlanilhaOutputs!X9</f>
        <v>509</v>
      </c>
      <c r="U11" s="437">
        <f>PlanilhaOutputs!Z9</f>
        <v>636</v>
      </c>
    </row>
    <row r="12" spans="2:21" ht="13.8">
      <c r="H12" s="425"/>
      <c r="J12" s="445" t="s">
        <v>804</v>
      </c>
      <c r="K12" s="446"/>
      <c r="N12" s="437" t="s">
        <v>779</v>
      </c>
      <c r="O12" s="438">
        <f>PlanilhaOutputs!D11</f>
        <v>25</v>
      </c>
      <c r="P12" s="437">
        <f>PlanilhaOutputs!F11</f>
        <v>179</v>
      </c>
      <c r="Q12" s="437">
        <f>PlanilhaOutputs!I11</f>
        <v>9</v>
      </c>
      <c r="R12" s="437">
        <f>PlanilhaOutputs!L11</f>
        <v>119</v>
      </c>
      <c r="S12" s="437">
        <f>PlanilhaOutputs!N11</f>
        <v>207</v>
      </c>
      <c r="T12" s="437">
        <f>PlanilhaOutputs!P11</f>
        <v>251</v>
      </c>
      <c r="U12" s="437">
        <f>PlanilhaOutputs!R11</f>
        <v>330</v>
      </c>
    </row>
    <row r="13" spans="2:21" ht="14.4">
      <c r="B13" t="s">
        <v>576</v>
      </c>
      <c r="G13" t="s">
        <v>795</v>
      </c>
      <c r="H13" s="424">
        <v>1.5</v>
      </c>
      <c r="J13" s="447"/>
      <c r="K13" s="447"/>
      <c r="N13" s="437" t="s">
        <v>781</v>
      </c>
      <c r="O13" s="438">
        <f>PlanilhaOutputs!D11</f>
        <v>25</v>
      </c>
      <c r="P13" s="437">
        <f>PlanilhaOutputs!G11</f>
        <v>319</v>
      </c>
      <c r="Q13" s="437">
        <f>PlanilhaOutputs!J11</f>
        <v>11</v>
      </c>
      <c r="R13" s="437">
        <f>PlanilhaOutputs!T11</f>
        <v>168</v>
      </c>
      <c r="S13" s="437">
        <f>PlanilhaOutputs!V11</f>
        <v>308</v>
      </c>
      <c r="T13" s="437">
        <f>PlanilhaOutputs!X11</f>
        <v>445</v>
      </c>
      <c r="U13" s="437">
        <f>PlanilhaOutputs!Z11</f>
        <v>569</v>
      </c>
    </row>
    <row r="14" spans="2:21" ht="14.4">
      <c r="B14" s="435" t="s">
        <v>796</v>
      </c>
      <c r="G14" s="435" t="s">
        <v>797</v>
      </c>
      <c r="H14" s="424">
        <v>1</v>
      </c>
      <c r="I14" t="s">
        <v>572</v>
      </c>
    </row>
    <row r="15" spans="2:21" ht="14.4">
      <c r="B15" t="s">
        <v>577</v>
      </c>
      <c r="G15" t="s">
        <v>578</v>
      </c>
      <c r="H15" s="426">
        <f>H14*H13*H3</f>
        <v>303.14999999999998</v>
      </c>
    </row>
    <row r="16" spans="2:21">
      <c r="H16" s="425"/>
    </row>
    <row r="17" spans="2:11" ht="14.4">
      <c r="B17" t="s">
        <v>579</v>
      </c>
      <c r="H17" s="424" t="s">
        <v>773</v>
      </c>
      <c r="I17" t="s">
        <v>580</v>
      </c>
    </row>
    <row r="18" spans="2:11" ht="14.4">
      <c r="B18" t="s">
        <v>588</v>
      </c>
      <c r="H18" s="424">
        <v>329</v>
      </c>
      <c r="I18" s="422" t="s">
        <v>572</v>
      </c>
      <c r="K18">
        <f>H3*3.33</f>
        <v>672.99300000000005</v>
      </c>
    </row>
    <row r="19" spans="2:11">
      <c r="H19" s="425"/>
    </row>
    <row r="20" spans="2:11">
      <c r="H20" s="440">
        <f>H22*H5*H21/9550</f>
        <v>177.47434554973822</v>
      </c>
    </row>
    <row r="21" spans="2:11" ht="14.4">
      <c r="B21" t="s">
        <v>582</v>
      </c>
      <c r="G21" t="s">
        <v>801</v>
      </c>
      <c r="H21" s="423">
        <v>1.2</v>
      </c>
    </row>
    <row r="22" spans="2:11" ht="14.4">
      <c r="B22" t="s">
        <v>583</v>
      </c>
      <c r="G22" t="s">
        <v>584</v>
      </c>
      <c r="H22" s="441">
        <v>1177</v>
      </c>
      <c r="I22" t="s">
        <v>802</v>
      </c>
    </row>
    <row r="23" spans="2:11">
      <c r="H23" s="425"/>
    </row>
    <row r="24" spans="2:11" ht="14.4">
      <c r="B24" s="435" t="s">
        <v>784</v>
      </c>
      <c r="G24" t="s">
        <v>585</v>
      </c>
      <c r="H24" s="423">
        <v>0.53</v>
      </c>
    </row>
    <row r="25" spans="2:11" ht="14.4">
      <c r="B25" s="435" t="s">
        <v>785</v>
      </c>
      <c r="G25" s="435" t="s">
        <v>776</v>
      </c>
      <c r="H25" s="423">
        <v>0.67</v>
      </c>
    </row>
    <row r="26" spans="2:11" ht="14.4">
      <c r="B26" t="s">
        <v>586</v>
      </c>
      <c r="G26" t="s">
        <v>587</v>
      </c>
      <c r="H26" s="423">
        <v>0.9</v>
      </c>
    </row>
    <row r="27" spans="2:11" ht="14.4">
      <c r="B27" s="435" t="s">
        <v>782</v>
      </c>
      <c r="G27" s="435" t="s">
        <v>783</v>
      </c>
      <c r="H27" s="423" t="s">
        <v>815</v>
      </c>
    </row>
  </sheetData>
  <mergeCells count="5">
    <mergeCell ref="J10:K10"/>
    <mergeCell ref="J11:K11"/>
    <mergeCell ref="J12:K12"/>
    <mergeCell ref="J13:K13"/>
    <mergeCell ref="J9:K9"/>
  </mergeCells>
  <conditionalFormatting sqref="P4:P7 P10:P13">
    <cfRule type="expression" dxfId="8" priority="2">
      <formula>P4&gt;3.33* $H$3</formula>
    </cfRule>
    <cfRule type="expression" dxfId="7" priority="11">
      <formula>P4 &lt; $H$3 * $H$13 * $H$14</formula>
    </cfRule>
    <cfRule type="expression" dxfId="6" priority="15">
      <formula>P4 &lt; $H$20</formula>
    </cfRule>
  </conditionalFormatting>
  <conditionalFormatting sqref="R4:S7 R10:S13">
    <cfRule type="expression" dxfId="5" priority="9">
      <formula>R4 * $H$24 &lt; $H$3 * $H$26</formula>
    </cfRule>
  </conditionalFormatting>
  <conditionalFormatting sqref="T4:U7 T10:U13">
    <cfRule type="expression" dxfId="4" priority="8">
      <formula>T4 * $H$25 &lt; $H$3 * $H$26</formula>
    </cfRule>
  </conditionalFormatting>
  <conditionalFormatting sqref="R4:S7 R10:S13 T10:U13 T4:U7">
    <cfRule type="expression" dxfId="3" priority="5">
      <formula>R4 = "–"</formula>
    </cfRule>
  </conditionalFormatting>
  <conditionalFormatting sqref="R4:U7 R10:U13">
    <cfRule type="expression" dxfId="2" priority="4">
      <formula>R4 = "*"</formula>
    </cfRule>
    <cfRule type="expression" dxfId="1" priority="7">
      <formula>$Q4 &gt; 22</formula>
    </cfRule>
  </conditionalFormatting>
  <conditionalFormatting sqref="P10:P13 P4:P7">
    <cfRule type="expression" dxfId="0" priority="1">
      <formula>P4 = "-"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FindFlender">
                <anchor moveWithCells="1" sizeWithCells="1">
                  <from>
                    <xdr:col>10</xdr:col>
                    <xdr:colOff>7620</xdr:colOff>
                    <xdr:row>2</xdr:row>
                    <xdr:rowOff>7620</xdr:rowOff>
                  </from>
                  <to>
                    <xdr:col>12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432"/>
  <sheetViews>
    <sheetView topLeftCell="A150" zoomScaleNormal="100" workbookViewId="0">
      <selection activeCell="P11" sqref="P11"/>
    </sheetView>
  </sheetViews>
  <sheetFormatPr defaultRowHeight="13.2"/>
  <sheetData>
    <row r="1" spans="1:15" ht="33.75" customHeight="1">
      <c r="A1" s="449" t="s">
        <v>10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</row>
    <row r="2" spans="1:15" ht="12" customHeight="1">
      <c r="A2" s="469" t="s">
        <v>11</v>
      </c>
      <c r="B2" s="450" t="s">
        <v>12</v>
      </c>
      <c r="C2" s="450"/>
      <c r="D2" s="470" t="s">
        <v>13</v>
      </c>
      <c r="E2" s="454" t="s">
        <v>14</v>
      </c>
      <c r="F2" s="455"/>
      <c r="G2" s="455"/>
      <c r="H2" s="455"/>
      <c r="I2" s="455"/>
      <c r="J2" s="455"/>
      <c r="K2" s="455"/>
      <c r="L2" s="455"/>
      <c r="M2" s="455"/>
    </row>
    <row r="3" spans="1:15" ht="12" customHeight="1">
      <c r="A3" s="452"/>
      <c r="B3" s="452"/>
      <c r="C3" s="452"/>
      <c r="D3" s="471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68">
        <v>1800</v>
      </c>
      <c r="C4" s="468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427" t="s">
        <v>536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65">
        <v>1500</v>
      </c>
      <c r="C5" s="465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65">
        <v>1200</v>
      </c>
      <c r="C6" s="465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67">
        <v>1000</v>
      </c>
      <c r="C7" s="467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68">
        <v>1800</v>
      </c>
      <c r="C8" s="468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65">
        <v>1500</v>
      </c>
      <c r="C9" s="465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65">
        <v>1200</v>
      </c>
      <c r="C10" s="465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67">
        <v>1000</v>
      </c>
      <c r="C11" s="467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68">
        <v>1800</v>
      </c>
      <c r="C12" s="468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65">
        <v>1500</v>
      </c>
      <c r="C13" s="465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65">
        <v>1200</v>
      </c>
      <c r="C14" s="465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67">
        <v>1000</v>
      </c>
      <c r="C15" s="467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68">
        <v>1800</v>
      </c>
      <c r="C16" s="468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65">
        <v>1500</v>
      </c>
      <c r="C17" s="465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65">
        <v>1200</v>
      </c>
      <c r="C18" s="465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65">
        <v>1000</v>
      </c>
      <c r="C19" s="465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68">
        <v>1800</v>
      </c>
      <c r="C20" s="468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65">
        <v>1500</v>
      </c>
      <c r="C21" s="465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65">
        <v>1200</v>
      </c>
      <c r="C22" s="465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65">
        <v>1000</v>
      </c>
      <c r="C23" s="465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68">
        <v>1800</v>
      </c>
      <c r="C24" s="468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65">
        <v>1500</v>
      </c>
      <c r="C25" s="465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65">
        <v>1200</v>
      </c>
      <c r="C26" s="465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65">
        <v>1000</v>
      </c>
      <c r="C27" s="465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68">
        <v>1800</v>
      </c>
      <c r="C28" s="468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535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65">
        <v>1500</v>
      </c>
      <c r="C29" s="465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65">
        <v>1200</v>
      </c>
      <c r="C30" s="465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536</v>
      </c>
      <c r="M30" s="223" t="s">
        <v>1</v>
      </c>
    </row>
    <row r="31" spans="1:13" ht="12" customHeight="1">
      <c r="A31" s="306"/>
      <c r="B31" s="467">
        <v>1000</v>
      </c>
      <c r="C31" s="467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68">
        <v>1800</v>
      </c>
      <c r="C32" s="468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65">
        <v>1500</v>
      </c>
      <c r="C33" s="465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65">
        <v>1200</v>
      </c>
      <c r="C34" s="465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67">
        <v>1000</v>
      </c>
      <c r="C35" s="467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68">
        <v>1800</v>
      </c>
      <c r="C36" s="468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65">
        <v>1500</v>
      </c>
      <c r="C37" s="465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65">
        <v>1200</v>
      </c>
      <c r="C38" s="465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67">
        <v>1000</v>
      </c>
      <c r="C39" s="467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68">
        <v>1800</v>
      </c>
      <c r="C40" s="468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65">
        <v>1500</v>
      </c>
      <c r="C41" s="465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65">
        <v>1200</v>
      </c>
      <c r="C42" s="465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67">
        <v>1000</v>
      </c>
      <c r="C43" s="467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68">
        <v>1800</v>
      </c>
      <c r="C44" s="468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65">
        <v>1500</v>
      </c>
      <c r="C45" s="465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65">
        <v>1200</v>
      </c>
      <c r="C46" s="465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67">
        <v>1000</v>
      </c>
      <c r="C47" s="467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68">
        <v>1800</v>
      </c>
      <c r="C48" s="468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65">
        <v>1500</v>
      </c>
      <c r="C49" s="465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65">
        <v>1200</v>
      </c>
      <c r="C50" s="465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67">
        <v>1000</v>
      </c>
      <c r="C51" s="467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68">
        <v>1800</v>
      </c>
      <c r="C52" s="468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65">
        <v>1500</v>
      </c>
      <c r="C53" s="465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65">
        <v>1200</v>
      </c>
      <c r="C54" s="465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67">
        <v>1000</v>
      </c>
      <c r="C55" s="467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68">
        <v>1800</v>
      </c>
      <c r="C56" s="468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65">
        <v>1500</v>
      </c>
      <c r="C57" s="465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65">
        <v>1200</v>
      </c>
      <c r="C58" s="465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8"/>
      <c r="B59" s="466">
        <v>1000</v>
      </c>
      <c r="C59" s="466"/>
      <c r="D59" s="369">
        <v>179</v>
      </c>
      <c r="E59" s="370">
        <v>43</v>
      </c>
      <c r="F59" s="371">
        <v>129</v>
      </c>
      <c r="G59" s="371">
        <v>245</v>
      </c>
      <c r="H59" s="371">
        <v>376</v>
      </c>
      <c r="I59" s="371">
        <v>684</v>
      </c>
      <c r="J59" s="371">
        <v>1038</v>
      </c>
      <c r="K59" s="371">
        <v>1694</v>
      </c>
      <c r="L59" s="371">
        <v>2211</v>
      </c>
      <c r="M59" s="372">
        <v>2811</v>
      </c>
    </row>
    <row r="60" spans="1:13" ht="12" customHeight="1">
      <c r="A60" s="367"/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  <c r="M60" s="345"/>
    </row>
    <row r="61" spans="1:13" ht="12" customHeight="1">
      <c r="A61" s="367"/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</row>
    <row r="62" spans="1:13" ht="12" customHeight="1">
      <c r="A62" s="367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</row>
    <row r="63" spans="1:13" ht="12" customHeight="1">
      <c r="A63" s="367"/>
      <c r="B63" s="345"/>
      <c r="C63" s="345"/>
      <c r="D63" s="345"/>
      <c r="E63" s="345"/>
      <c r="F63" s="345"/>
      <c r="G63" s="345"/>
      <c r="H63" s="345"/>
      <c r="I63" s="345"/>
      <c r="J63" s="345"/>
      <c r="K63" s="345"/>
      <c r="L63" s="345"/>
      <c r="M63" s="345"/>
    </row>
    <row r="64" spans="1:13" ht="12" customHeight="1">
      <c r="A64" s="367"/>
      <c r="B64" s="345"/>
      <c r="C64" s="345"/>
      <c r="D64" s="345"/>
      <c r="E64" s="345"/>
      <c r="F64" s="345"/>
      <c r="G64" s="345"/>
      <c r="H64" s="345"/>
      <c r="I64" s="345"/>
      <c r="J64" s="345"/>
      <c r="K64" s="345"/>
      <c r="L64" s="345"/>
      <c r="M64" s="345"/>
    </row>
    <row r="65" spans="1:24" ht="12" customHeight="1">
      <c r="A65" s="367"/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</row>
    <row r="66" spans="1:24" ht="12" customHeight="1">
      <c r="A66" s="367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</row>
    <row r="67" spans="1:24" ht="12" customHeight="1">
      <c r="A67" s="367"/>
      <c r="B67" s="345"/>
      <c r="C67" s="345"/>
      <c r="D67" s="345"/>
      <c r="E67" s="345"/>
      <c r="F67" s="345"/>
      <c r="G67" s="345"/>
      <c r="H67" s="345"/>
      <c r="I67" s="345"/>
      <c r="J67" s="345"/>
      <c r="K67" s="345"/>
      <c r="L67" s="345"/>
      <c r="M67" s="345"/>
    </row>
    <row r="68" spans="1:24" ht="12" customHeight="1">
      <c r="A68" s="367"/>
      <c r="B68" s="345"/>
      <c r="C68" s="345"/>
      <c r="D68" s="345"/>
      <c r="E68" s="345"/>
      <c r="F68" s="345"/>
      <c r="G68" s="345"/>
      <c r="H68" s="345"/>
      <c r="I68" s="345"/>
      <c r="J68" s="345"/>
      <c r="K68" s="345"/>
      <c r="L68" s="345"/>
      <c r="M68" s="345"/>
    </row>
    <row r="69" spans="1:24" ht="12" customHeight="1">
      <c r="A69" s="367"/>
      <c r="B69" s="345"/>
      <c r="C69" s="345"/>
      <c r="D69" s="345"/>
      <c r="E69" s="345"/>
      <c r="F69" s="345"/>
      <c r="G69" s="345"/>
      <c r="H69" s="345"/>
      <c r="I69" s="345"/>
      <c r="J69" s="345"/>
      <c r="K69" s="345"/>
      <c r="L69" s="345"/>
      <c r="M69" s="345"/>
    </row>
    <row r="70" spans="1:24" ht="12" customHeight="1">
      <c r="A70" s="367"/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</row>
    <row r="71" spans="1:24" ht="12" customHeight="1">
      <c r="A71" s="367"/>
      <c r="B71" s="345"/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</row>
    <row r="72" spans="1:24" ht="12" customHeight="1">
      <c r="A72" s="367"/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</row>
    <row r="73" spans="1:24" ht="12" customHeight="1">
      <c r="A73" s="367"/>
      <c r="B73" s="345"/>
      <c r="C73" s="345"/>
      <c r="D73" s="345"/>
      <c r="E73" s="345"/>
      <c r="F73" s="345"/>
      <c r="G73" s="345"/>
      <c r="H73" s="345"/>
      <c r="I73" s="345"/>
      <c r="J73" s="345"/>
      <c r="K73" s="345"/>
      <c r="L73" s="345"/>
      <c r="M73" s="345"/>
    </row>
    <row r="74" spans="1:24" ht="12" customHeight="1">
      <c r="A74" s="367"/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</row>
    <row r="75" spans="1:24" ht="12" customHeight="1">
      <c r="A75" s="367"/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</row>
    <row r="77" spans="1:24" ht="36.75" customHeight="1">
      <c r="A77" s="449" t="s">
        <v>68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</row>
    <row r="78" spans="1:24" ht="11.25" customHeight="1">
      <c r="A78" s="451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  <c r="V78" s="455"/>
    </row>
    <row r="79" spans="1:24" ht="11.25" customHeight="1">
      <c r="A79" s="453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89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58" t="s">
        <v>70</v>
      </c>
    </row>
    <row r="81" spans="1:22" ht="11.25" customHeight="1">
      <c r="A81" s="72">
        <v>1.4</v>
      </c>
      <c r="B81" s="389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59"/>
    </row>
    <row r="82" spans="1:22" ht="11.25" customHeight="1">
      <c r="A82" s="72">
        <v>1.6</v>
      </c>
      <c r="B82" s="389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59"/>
    </row>
    <row r="83" spans="1:22" ht="11.25" customHeight="1">
      <c r="A83" s="72">
        <v>1.8</v>
      </c>
      <c r="B83" s="389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59"/>
    </row>
    <row r="84" spans="1:22" ht="11.25" customHeight="1">
      <c r="A84" s="73">
        <v>2</v>
      </c>
      <c r="B84" s="389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59"/>
    </row>
    <row r="85" spans="1:22" ht="11.25" customHeight="1">
      <c r="A85" s="66">
        <v>2.2400000000000002</v>
      </c>
      <c r="B85" s="389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59"/>
    </row>
    <row r="86" spans="1:22" ht="11.25" customHeight="1">
      <c r="A86" s="72">
        <v>2.5</v>
      </c>
      <c r="B86" s="389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59"/>
    </row>
    <row r="87" spans="1:22" ht="11.25" customHeight="1">
      <c r="A87" s="72">
        <v>2.8</v>
      </c>
      <c r="B87" s="389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59"/>
    </row>
    <row r="88" spans="1:22" ht="11.25" customHeight="1">
      <c r="A88" s="66">
        <v>3.15</v>
      </c>
      <c r="B88" s="389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59"/>
    </row>
    <row r="89" spans="1:22" ht="11.25" customHeight="1">
      <c r="A89" s="66">
        <v>3.55</v>
      </c>
      <c r="B89" s="389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59"/>
    </row>
    <row r="90" spans="1:22" ht="11.25" customHeight="1">
      <c r="A90" s="73">
        <v>4</v>
      </c>
      <c r="B90" s="389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59"/>
    </row>
    <row r="91" spans="1:22" ht="11.25" customHeight="1">
      <c r="A91" s="72">
        <v>4.5</v>
      </c>
      <c r="B91" s="389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59"/>
    </row>
    <row r="92" spans="1:22" ht="11.25" customHeight="1">
      <c r="A92" s="73">
        <v>5</v>
      </c>
      <c r="B92" s="389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59"/>
    </row>
    <row r="93" spans="1:22" ht="11.25" customHeight="1">
      <c r="A93" s="72">
        <v>5.6</v>
      </c>
      <c r="B93" s="389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59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60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56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57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57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57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57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57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57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57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57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57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61"/>
    </row>
    <row r="106" spans="1:22" ht="11.25" customHeight="1">
      <c r="A106" s="73">
        <v>25</v>
      </c>
      <c r="B106" s="335" t="s">
        <v>1</v>
      </c>
      <c r="C106" s="337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62" t="s">
        <v>72</v>
      </c>
    </row>
    <row r="107" spans="1:22" ht="11.25" customHeight="1">
      <c r="A107" s="73">
        <v>28</v>
      </c>
      <c r="B107" s="335" t="s">
        <v>1</v>
      </c>
      <c r="C107" s="337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63"/>
    </row>
    <row r="108" spans="1:22" ht="11.25" customHeight="1">
      <c r="A108" s="75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63"/>
    </row>
    <row r="109" spans="1:22" ht="11.25" customHeight="1">
      <c r="A109" s="75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63"/>
    </row>
    <row r="110" spans="1:22" ht="11.25" customHeight="1">
      <c r="A110" s="73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63"/>
    </row>
    <row r="111" spans="1:22" ht="11.25" customHeight="1">
      <c r="A111" s="73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63"/>
    </row>
    <row r="112" spans="1:22" ht="11.25" customHeight="1">
      <c r="A112" s="73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63"/>
    </row>
    <row r="113" spans="1:22" ht="11.25" customHeight="1">
      <c r="A113" s="73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63"/>
    </row>
    <row r="114" spans="1:22" ht="11.25" customHeight="1">
      <c r="A114" s="73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63"/>
    </row>
    <row r="115" spans="1:22" ht="11.25" customHeight="1">
      <c r="A115" s="73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63"/>
    </row>
    <row r="116" spans="1:22" ht="11.25" customHeight="1">
      <c r="A116" s="73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63"/>
    </row>
    <row r="117" spans="1:22" ht="11.25" customHeight="1">
      <c r="A117" s="73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63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64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56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57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57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57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57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57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57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57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57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57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57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57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57"/>
    </row>
    <row r="134" spans="1:22" ht="40.799999999999997" customHeight="1">
      <c r="A134" s="449" t="s">
        <v>74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</row>
    <row r="135" spans="1:22" ht="12.3" customHeight="1">
      <c r="A135" s="450" t="s">
        <v>69</v>
      </c>
      <c r="B135" s="451"/>
      <c r="C135" s="454" t="s">
        <v>14</v>
      </c>
      <c r="D135" s="455"/>
      <c r="E135" s="455"/>
      <c r="F135" s="455"/>
      <c r="G135" s="455"/>
      <c r="H135" s="455"/>
      <c r="I135" s="455"/>
      <c r="J135" s="455"/>
      <c r="K135" s="455"/>
    </row>
    <row r="136" spans="1:22" ht="9" customHeight="1">
      <c r="A136" s="452"/>
      <c r="B136" s="453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>
        <v>1.25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430">
        <v>1.4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0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>
        <v>1.6</v>
      </c>
      <c r="B145" s="298" t="s">
        <v>2</v>
      </c>
      <c r="C145" s="304" t="s">
        <v>537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0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>
        <v>1.8</v>
      </c>
      <c r="B149" s="298" t="s">
        <v>2</v>
      </c>
      <c r="C149" s="304" t="s">
        <v>538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0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>
        <v>2</v>
      </c>
      <c r="B153" s="298" t="s">
        <v>2</v>
      </c>
      <c r="C153" s="304" t="s">
        <v>539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0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>
        <v>2.2400000000000002</v>
      </c>
      <c r="B157" s="298" t="s">
        <v>2</v>
      </c>
      <c r="C157" s="304" t="s">
        <v>540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0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>
        <v>2.5</v>
      </c>
      <c r="B161" s="298" t="s">
        <v>2</v>
      </c>
      <c r="C161" s="304" t="s">
        <v>541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0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>
        <v>2.8</v>
      </c>
      <c r="B165" s="298" t="s">
        <v>2</v>
      </c>
      <c r="C165" s="304" t="s">
        <v>542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543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0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>
        <v>3.15</v>
      </c>
      <c r="B169" s="298" t="s">
        <v>2</v>
      </c>
      <c r="C169" s="304" t="s">
        <v>544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0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>
        <v>3.55</v>
      </c>
      <c r="B173" s="298" t="s">
        <v>2</v>
      </c>
      <c r="C173" s="304" t="s">
        <v>545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0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>
        <v>4</v>
      </c>
      <c r="B177" s="298" t="s">
        <v>2</v>
      </c>
      <c r="C177" s="304" t="s">
        <v>546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0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>
        <v>4.5</v>
      </c>
      <c r="B181" s="298" t="s">
        <v>2</v>
      </c>
      <c r="C181" s="304" t="s">
        <v>547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0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>
        <v>5</v>
      </c>
      <c r="B185" s="298" t="s">
        <v>2</v>
      </c>
      <c r="C185" s="304" t="s">
        <v>548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0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>
        <v>5.6</v>
      </c>
      <c r="B189" s="298" t="s">
        <v>2</v>
      </c>
      <c r="C189" s="304" t="s">
        <v>549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7"/>
      <c r="B192" s="387" t="s">
        <v>6</v>
      </c>
      <c r="C192" s="370">
        <v>225</v>
      </c>
      <c r="D192" s="371">
        <v>540</v>
      </c>
      <c r="E192" s="371">
        <v>760</v>
      </c>
      <c r="F192" s="371">
        <v>1196</v>
      </c>
      <c r="G192" s="371">
        <v>1529</v>
      </c>
      <c r="H192" s="371">
        <v>1701</v>
      </c>
      <c r="I192" s="371">
        <v>2115</v>
      </c>
      <c r="J192" s="371">
        <v>2423</v>
      </c>
      <c r="K192" s="380" t="s">
        <v>21</v>
      </c>
    </row>
    <row r="214" spans="1:12" ht="40.799999999999997" customHeight="1">
      <c r="A214" s="449" t="s">
        <v>89</v>
      </c>
      <c r="B214" s="449"/>
      <c r="C214" s="449"/>
      <c r="D214" s="449"/>
      <c r="E214" s="449"/>
      <c r="F214" s="449"/>
      <c r="G214" s="449"/>
      <c r="H214" s="449"/>
      <c r="I214" s="449"/>
      <c r="J214" s="449"/>
      <c r="K214" s="449"/>
      <c r="L214" s="449"/>
    </row>
    <row r="215" spans="1:12" ht="12.3" customHeight="1">
      <c r="A215" s="450" t="s">
        <v>69</v>
      </c>
      <c r="B215" s="451"/>
      <c r="C215" s="454" t="s">
        <v>14</v>
      </c>
      <c r="D215" s="455"/>
      <c r="E215" s="455"/>
      <c r="F215" s="455"/>
      <c r="G215" s="455"/>
      <c r="H215" s="455"/>
      <c r="I215" s="455"/>
      <c r="J215" s="455"/>
      <c r="K215" s="455"/>
    </row>
    <row r="216" spans="1:12" ht="9" customHeight="1">
      <c r="A216" s="452"/>
      <c r="B216" s="453"/>
      <c r="C216" s="33">
        <v>3</v>
      </c>
      <c r="D216" s="33">
        <v>5</v>
      </c>
      <c r="E216" s="33">
        <v>7</v>
      </c>
      <c r="F216" s="33">
        <v>9</v>
      </c>
      <c r="G216" s="33">
        <v>11</v>
      </c>
      <c r="H216" s="33">
        <v>13</v>
      </c>
      <c r="I216" s="33">
        <v>15</v>
      </c>
      <c r="J216" s="33">
        <v>17</v>
      </c>
      <c r="K216" s="34">
        <v>19</v>
      </c>
    </row>
    <row r="217" spans="1:12" ht="10.5" customHeight="1">
      <c r="A217" s="299">
        <v>1.25</v>
      </c>
      <c r="B217" s="298" t="s">
        <v>2</v>
      </c>
      <c r="C217" s="318">
        <v>45.9</v>
      </c>
      <c r="D217" s="262">
        <v>89.2</v>
      </c>
      <c r="E217" s="85" t="s">
        <v>21</v>
      </c>
      <c r="F217" s="85" t="s">
        <v>21</v>
      </c>
      <c r="G217" s="85" t="s">
        <v>1</v>
      </c>
      <c r="H217" s="85" t="s">
        <v>1</v>
      </c>
      <c r="I217" s="85" t="s">
        <v>1</v>
      </c>
      <c r="J217" s="85" t="s">
        <v>1</v>
      </c>
      <c r="K217" s="221" t="s">
        <v>1</v>
      </c>
    </row>
    <row r="218" spans="1:12" ht="9" customHeight="1">
      <c r="A218" s="296"/>
      <c r="B218" s="296" t="s">
        <v>3</v>
      </c>
      <c r="C218" s="304">
        <v>234</v>
      </c>
      <c r="D218" s="258">
        <v>508</v>
      </c>
      <c r="E218" s="258">
        <v>686</v>
      </c>
      <c r="F218" s="258">
        <v>599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23" t="s">
        <v>1</v>
      </c>
    </row>
    <row r="219" spans="1:12" ht="9.3000000000000007" customHeight="1">
      <c r="A219" s="296"/>
      <c r="B219" s="296" t="s">
        <v>4</v>
      </c>
      <c r="C219" s="304">
        <v>368</v>
      </c>
      <c r="D219" s="258">
        <v>500</v>
      </c>
      <c r="E219" s="258">
        <v>306</v>
      </c>
      <c r="F219" s="258">
        <v>502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23" t="s">
        <v>1</v>
      </c>
    </row>
    <row r="220" spans="1:12" ht="10.8" customHeight="1">
      <c r="A220" s="297"/>
      <c r="B220" s="297" t="s">
        <v>6</v>
      </c>
      <c r="C220" s="307">
        <v>524</v>
      </c>
      <c r="D220" s="259">
        <v>978</v>
      </c>
      <c r="E220" s="259">
        <v>1137</v>
      </c>
      <c r="F220" s="259">
        <v>1604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25" t="s">
        <v>1</v>
      </c>
    </row>
    <row r="221" spans="1:12" ht="10.5" customHeight="1">
      <c r="A221" s="430">
        <v>1.4</v>
      </c>
      <c r="B221" s="298" t="s">
        <v>2</v>
      </c>
      <c r="C221" s="318">
        <v>56.2</v>
      </c>
      <c r="D221" s="262">
        <v>104.8</v>
      </c>
      <c r="E221" s="85" t="s">
        <v>21</v>
      </c>
      <c r="F221" s="85" t="s">
        <v>21</v>
      </c>
      <c r="G221" s="85" t="s">
        <v>1</v>
      </c>
      <c r="H221" s="85" t="s">
        <v>1</v>
      </c>
      <c r="I221" s="85" t="s">
        <v>1</v>
      </c>
      <c r="J221" s="85" t="s">
        <v>1</v>
      </c>
      <c r="K221" s="221" t="s">
        <v>1</v>
      </c>
    </row>
    <row r="222" spans="1:12" ht="9" customHeight="1">
      <c r="A222" s="296"/>
      <c r="B222" s="296" t="s">
        <v>3</v>
      </c>
      <c r="C222" s="304">
        <v>236</v>
      </c>
      <c r="D222" s="258">
        <v>530</v>
      </c>
      <c r="E222" s="258">
        <v>730</v>
      </c>
      <c r="F222" s="258">
        <v>729</v>
      </c>
      <c r="G222" s="146" t="s">
        <v>1</v>
      </c>
      <c r="H222" s="146" t="s">
        <v>1</v>
      </c>
      <c r="I222" s="146" t="s">
        <v>1</v>
      </c>
      <c r="J222" s="146" t="s">
        <v>1</v>
      </c>
      <c r="K222" s="223" t="s">
        <v>1</v>
      </c>
    </row>
    <row r="223" spans="1:12" ht="9.3000000000000007" customHeight="1">
      <c r="A223" s="296"/>
      <c r="B223" s="296" t="s">
        <v>4</v>
      </c>
      <c r="C223" s="304">
        <v>359</v>
      </c>
      <c r="D223" s="258">
        <v>522</v>
      </c>
      <c r="E223" s="258">
        <v>376</v>
      </c>
      <c r="F223" s="258">
        <v>635</v>
      </c>
      <c r="G223" s="146" t="s">
        <v>1</v>
      </c>
      <c r="H223" s="146" t="s">
        <v>1</v>
      </c>
      <c r="I223" s="146" t="s">
        <v>1</v>
      </c>
      <c r="J223" s="146" t="s">
        <v>1</v>
      </c>
      <c r="K223" s="223" t="s">
        <v>1</v>
      </c>
    </row>
    <row r="224" spans="1:12" ht="10.8" customHeight="1">
      <c r="A224" s="297"/>
      <c r="B224" s="297" t="s">
        <v>6</v>
      </c>
      <c r="C224" s="307">
        <v>510</v>
      </c>
      <c r="D224" s="259">
        <v>985</v>
      </c>
      <c r="E224" s="259">
        <v>1161</v>
      </c>
      <c r="F224" s="259">
        <v>1661</v>
      </c>
      <c r="G224" s="149" t="s">
        <v>1</v>
      </c>
      <c r="H224" s="149" t="s">
        <v>1</v>
      </c>
      <c r="I224" s="149" t="s">
        <v>1</v>
      </c>
      <c r="J224" s="149" t="s">
        <v>1</v>
      </c>
      <c r="K224" s="225" t="s">
        <v>1</v>
      </c>
    </row>
    <row r="225" spans="1:11" ht="10.5" customHeight="1">
      <c r="A225" s="299">
        <v>1.6</v>
      </c>
      <c r="B225" s="298" t="s">
        <v>2</v>
      </c>
      <c r="C225" s="318">
        <v>65.3</v>
      </c>
      <c r="D225" s="85" t="s">
        <v>21</v>
      </c>
      <c r="E225" s="85" t="s">
        <v>21</v>
      </c>
      <c r="F225" s="85" t="s">
        <v>21</v>
      </c>
      <c r="G225" s="85" t="s">
        <v>21</v>
      </c>
      <c r="H225" s="85" t="s">
        <v>21</v>
      </c>
      <c r="I225" s="85" t="s">
        <v>1</v>
      </c>
      <c r="J225" s="85" t="s">
        <v>1</v>
      </c>
      <c r="K225" s="221" t="s">
        <v>1</v>
      </c>
    </row>
    <row r="226" spans="1:11" ht="9" customHeight="1">
      <c r="A226" s="296"/>
      <c r="B226" s="296" t="s">
        <v>3</v>
      </c>
      <c r="C226" s="304">
        <v>235</v>
      </c>
      <c r="D226" s="258">
        <v>571</v>
      </c>
      <c r="E226" s="258">
        <v>799</v>
      </c>
      <c r="F226" s="258">
        <v>862</v>
      </c>
      <c r="G226" s="258">
        <v>751</v>
      </c>
      <c r="H226" s="258">
        <v>1146</v>
      </c>
      <c r="I226" s="146" t="s">
        <v>1</v>
      </c>
      <c r="J226" s="146" t="s">
        <v>1</v>
      </c>
      <c r="K226" s="223" t="s">
        <v>1</v>
      </c>
    </row>
    <row r="227" spans="1:11" ht="9.3000000000000007" customHeight="1">
      <c r="A227" s="296"/>
      <c r="B227" s="296" t="s">
        <v>4</v>
      </c>
      <c r="C227" s="304">
        <v>341</v>
      </c>
      <c r="D227" s="258">
        <v>561</v>
      </c>
      <c r="E227" s="258">
        <v>467</v>
      </c>
      <c r="F227" s="258">
        <v>781</v>
      </c>
      <c r="G227" s="258">
        <v>65</v>
      </c>
      <c r="H227" s="258">
        <v>346</v>
      </c>
      <c r="I227" s="146" t="s">
        <v>1</v>
      </c>
      <c r="J227" s="146" t="s">
        <v>1</v>
      </c>
      <c r="K227" s="223" t="s">
        <v>1</v>
      </c>
    </row>
    <row r="228" spans="1:11" ht="10.8" customHeight="1">
      <c r="A228" s="297"/>
      <c r="B228" s="297" t="s">
        <v>6</v>
      </c>
      <c r="C228" s="307">
        <v>485</v>
      </c>
      <c r="D228" s="259">
        <v>1018</v>
      </c>
      <c r="E228" s="259">
        <v>1217</v>
      </c>
      <c r="F228" s="259">
        <v>1695</v>
      </c>
      <c r="G228" s="259">
        <v>1911</v>
      </c>
      <c r="H228" s="259">
        <v>826</v>
      </c>
      <c r="I228" s="149" t="s">
        <v>1</v>
      </c>
      <c r="J228" s="149" t="s">
        <v>1</v>
      </c>
      <c r="K228" s="225" t="s">
        <v>1</v>
      </c>
    </row>
    <row r="229" spans="1:11" ht="10.5" customHeight="1">
      <c r="A229" s="299">
        <v>1.8</v>
      </c>
      <c r="B229" s="298" t="s">
        <v>2</v>
      </c>
      <c r="C229" s="318">
        <v>79.2</v>
      </c>
      <c r="D229" s="85" t="s">
        <v>21</v>
      </c>
      <c r="E229" s="85" t="s">
        <v>21</v>
      </c>
      <c r="F229" s="85" t="s">
        <v>21</v>
      </c>
      <c r="G229" s="85" t="s">
        <v>21</v>
      </c>
      <c r="H229" s="85" t="s">
        <v>21</v>
      </c>
      <c r="I229" s="85" t="s">
        <v>1</v>
      </c>
      <c r="J229" s="85" t="s">
        <v>1</v>
      </c>
      <c r="K229" s="221" t="s">
        <v>1</v>
      </c>
    </row>
    <row r="230" spans="1:11" ht="9" customHeight="1">
      <c r="A230" s="296"/>
      <c r="B230" s="296" t="s">
        <v>3</v>
      </c>
      <c r="C230" s="304">
        <v>260</v>
      </c>
      <c r="D230" s="258">
        <v>546</v>
      </c>
      <c r="E230" s="258">
        <v>775</v>
      </c>
      <c r="F230" s="258">
        <v>901</v>
      </c>
      <c r="G230" s="258">
        <v>954</v>
      </c>
      <c r="H230" s="258">
        <v>108</v>
      </c>
      <c r="I230" s="146" t="s">
        <v>1</v>
      </c>
      <c r="J230" s="146" t="s">
        <v>1</v>
      </c>
      <c r="K230" s="223" t="s">
        <v>1</v>
      </c>
    </row>
    <row r="231" spans="1:11" ht="9.3000000000000007" customHeight="1">
      <c r="A231" s="296"/>
      <c r="B231" s="296" t="s">
        <v>4</v>
      </c>
      <c r="C231" s="304">
        <v>364</v>
      </c>
      <c r="D231" s="258">
        <v>539</v>
      </c>
      <c r="E231" s="258">
        <v>474</v>
      </c>
      <c r="F231" s="258">
        <v>828</v>
      </c>
      <c r="G231" s="258">
        <v>320</v>
      </c>
      <c r="H231" s="258">
        <v>108</v>
      </c>
      <c r="I231" s="146" t="s">
        <v>1</v>
      </c>
      <c r="J231" s="146" t="s">
        <v>1</v>
      </c>
      <c r="K231" s="223" t="s">
        <v>1</v>
      </c>
    </row>
    <row r="232" spans="1:11" ht="10.8" customHeight="1">
      <c r="A232" s="297"/>
      <c r="B232" s="297" t="s">
        <v>6</v>
      </c>
      <c r="C232" s="307">
        <v>519</v>
      </c>
      <c r="D232" s="259">
        <v>946</v>
      </c>
      <c r="E232" s="259">
        <v>1158</v>
      </c>
      <c r="F232" s="259">
        <v>1687</v>
      </c>
      <c r="G232" s="259">
        <v>2009</v>
      </c>
      <c r="H232" s="259">
        <v>1435</v>
      </c>
      <c r="I232" s="149" t="s">
        <v>1</v>
      </c>
      <c r="J232" s="149" t="s">
        <v>1</v>
      </c>
      <c r="K232" s="225" t="s">
        <v>1</v>
      </c>
    </row>
    <row r="233" spans="1:11" ht="10.5" customHeight="1">
      <c r="A233" s="299">
        <v>2</v>
      </c>
      <c r="B233" s="298" t="s">
        <v>2</v>
      </c>
      <c r="C233" s="318">
        <v>80.400000000000006</v>
      </c>
      <c r="D233" s="262">
        <v>92.2</v>
      </c>
      <c r="E233" s="237">
        <v>128</v>
      </c>
      <c r="F233" s="85" t="s">
        <v>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252</v>
      </c>
      <c r="D234" s="258">
        <v>536</v>
      </c>
      <c r="E234" s="258">
        <v>780</v>
      </c>
      <c r="F234" s="258">
        <v>915</v>
      </c>
      <c r="G234" s="258">
        <v>1109</v>
      </c>
      <c r="H234" s="146" t="s">
        <v>21</v>
      </c>
      <c r="I234" s="146" t="s">
        <v>21</v>
      </c>
      <c r="J234" s="146" t="s">
        <v>21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346</v>
      </c>
      <c r="D235" s="258">
        <v>531</v>
      </c>
      <c r="E235" s="258">
        <v>501</v>
      </c>
      <c r="F235" s="258">
        <v>853</v>
      </c>
      <c r="G235" s="258">
        <v>518</v>
      </c>
      <c r="H235" s="258">
        <v>487</v>
      </c>
      <c r="I235" s="258">
        <v>1062</v>
      </c>
      <c r="J235" s="146" t="s">
        <v>21</v>
      </c>
      <c r="K235" s="223" t="s">
        <v>21</v>
      </c>
    </row>
    <row r="236" spans="1:11" ht="10.8" customHeight="1">
      <c r="A236" s="297"/>
      <c r="B236" s="297" t="s">
        <v>6</v>
      </c>
      <c r="C236" s="307">
        <v>494</v>
      </c>
      <c r="D236" s="259">
        <v>916</v>
      </c>
      <c r="E236" s="259">
        <v>1142</v>
      </c>
      <c r="F236" s="259">
        <v>1657</v>
      </c>
      <c r="G236" s="259">
        <v>2056</v>
      </c>
      <c r="H236" s="259">
        <v>1724</v>
      </c>
      <c r="I236" s="259">
        <v>539</v>
      </c>
      <c r="J236" s="149" t="s">
        <v>21</v>
      </c>
      <c r="K236" s="225" t="s">
        <v>21</v>
      </c>
    </row>
    <row r="237" spans="1:11" ht="10.5" customHeight="1">
      <c r="A237" s="299">
        <v>2.2400000000000002</v>
      </c>
      <c r="B237" s="298" t="s">
        <v>2</v>
      </c>
      <c r="C237" s="318">
        <v>80.400000000000006</v>
      </c>
      <c r="D237" s="237">
        <v>108</v>
      </c>
      <c r="E237" s="85" t="s">
        <v>21</v>
      </c>
      <c r="F237" s="85" t="s">
        <v>21</v>
      </c>
      <c r="G237" s="85" t="s">
        <v>21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243</v>
      </c>
      <c r="D238" s="258">
        <v>517</v>
      </c>
      <c r="E238" s="258">
        <v>758</v>
      </c>
      <c r="F238" s="258">
        <v>911</v>
      </c>
      <c r="G238" s="258">
        <v>1188</v>
      </c>
      <c r="H238" s="258">
        <v>767</v>
      </c>
      <c r="I238" s="146" t="s">
        <v>21</v>
      </c>
      <c r="J238" s="146" t="s">
        <v>21</v>
      </c>
      <c r="K238" s="223" t="s">
        <v>21</v>
      </c>
    </row>
    <row r="239" spans="1:11" ht="9.3000000000000007" customHeight="1">
      <c r="A239" s="296"/>
      <c r="B239" s="296" t="s">
        <v>4</v>
      </c>
      <c r="C239" s="304">
        <v>326</v>
      </c>
      <c r="D239" s="258">
        <v>515</v>
      </c>
      <c r="E239" s="258">
        <v>514</v>
      </c>
      <c r="F239" s="258">
        <v>858</v>
      </c>
      <c r="G239" s="258">
        <v>670</v>
      </c>
      <c r="H239" s="320">
        <v>41.4</v>
      </c>
      <c r="I239" s="258">
        <v>1230</v>
      </c>
      <c r="J239" s="146" t="s">
        <v>21</v>
      </c>
      <c r="K239" s="223" t="s">
        <v>21</v>
      </c>
    </row>
    <row r="240" spans="1:11" ht="10.8" customHeight="1">
      <c r="A240" s="297"/>
      <c r="B240" s="297" t="s">
        <v>6</v>
      </c>
      <c r="C240" s="307">
        <v>466</v>
      </c>
      <c r="D240" s="259">
        <v>875</v>
      </c>
      <c r="E240" s="259">
        <v>1087</v>
      </c>
      <c r="F240" s="259">
        <v>1604</v>
      </c>
      <c r="G240" s="259">
        <v>2060</v>
      </c>
      <c r="H240" s="259">
        <v>1904</v>
      </c>
      <c r="I240" s="259">
        <v>1081</v>
      </c>
      <c r="J240" s="149" t="s">
        <v>21</v>
      </c>
      <c r="K240" s="225" t="s">
        <v>21</v>
      </c>
    </row>
    <row r="241" spans="1:11" ht="10.5" customHeight="1">
      <c r="A241" s="299">
        <v>2.5</v>
      </c>
      <c r="B241" s="298" t="s">
        <v>2</v>
      </c>
      <c r="C241" s="318">
        <v>78.599999999999994</v>
      </c>
      <c r="D241" s="237">
        <v>115</v>
      </c>
      <c r="E241" s="85" t="s">
        <v>21</v>
      </c>
      <c r="F241" s="85" t="s">
        <v>21</v>
      </c>
      <c r="G241" s="85" t="s">
        <v>21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1" ht="9" customHeight="1">
      <c r="A242" s="296"/>
      <c r="B242" s="296" t="s">
        <v>3</v>
      </c>
      <c r="C242" s="304">
        <v>226</v>
      </c>
      <c r="D242" s="258">
        <v>494</v>
      </c>
      <c r="E242" s="258">
        <v>728</v>
      </c>
      <c r="F242" s="258">
        <v>905</v>
      </c>
      <c r="G242" s="258">
        <v>1219</v>
      </c>
      <c r="H242" s="258">
        <v>975</v>
      </c>
      <c r="I242" s="146" t="s">
        <v>21</v>
      </c>
      <c r="J242" s="146" t="s">
        <v>21</v>
      </c>
      <c r="K242" s="223" t="s">
        <v>21</v>
      </c>
    </row>
    <row r="243" spans="1:11" ht="9.3000000000000007" customHeight="1">
      <c r="A243" s="296"/>
      <c r="B243" s="296" t="s">
        <v>4</v>
      </c>
      <c r="C243" s="304">
        <v>294</v>
      </c>
      <c r="D243" s="258">
        <v>495</v>
      </c>
      <c r="E243" s="258">
        <v>507</v>
      </c>
      <c r="F243" s="258">
        <v>862</v>
      </c>
      <c r="G243" s="258">
        <v>784</v>
      </c>
      <c r="H243" s="258">
        <v>320</v>
      </c>
      <c r="I243" s="258">
        <v>190</v>
      </c>
      <c r="J243" s="146" t="s">
        <v>21</v>
      </c>
      <c r="K243" s="223" t="s">
        <v>21</v>
      </c>
    </row>
    <row r="244" spans="1:11" ht="10.8" customHeight="1">
      <c r="A244" s="297"/>
      <c r="B244" s="297" t="s">
        <v>6</v>
      </c>
      <c r="C244" s="307">
        <v>422</v>
      </c>
      <c r="D244" s="259">
        <v>829</v>
      </c>
      <c r="E244" s="259">
        <v>1034</v>
      </c>
      <c r="F244" s="259">
        <v>1546</v>
      </c>
      <c r="G244" s="259">
        <v>2027</v>
      </c>
      <c r="H244" s="259">
        <v>1970</v>
      </c>
      <c r="I244" s="259">
        <v>1557</v>
      </c>
      <c r="J244" s="149" t="s">
        <v>21</v>
      </c>
      <c r="K244" s="225" t="s">
        <v>21</v>
      </c>
    </row>
    <row r="245" spans="1:11" ht="10.5" customHeight="1">
      <c r="A245" s="299">
        <v>2.8</v>
      </c>
      <c r="B245" s="298" t="s">
        <v>2</v>
      </c>
      <c r="C245" s="318">
        <v>75.599999999999994</v>
      </c>
      <c r="D245" s="237">
        <v>117</v>
      </c>
      <c r="E245" s="237">
        <v>124</v>
      </c>
      <c r="F245" s="237">
        <v>168</v>
      </c>
      <c r="G245" s="85" t="s">
        <v>21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1" ht="9" customHeight="1">
      <c r="A246" s="296"/>
      <c r="B246" s="296" t="s">
        <v>3</v>
      </c>
      <c r="C246" s="304">
        <v>211</v>
      </c>
      <c r="D246" s="258">
        <v>465</v>
      </c>
      <c r="E246" s="258">
        <v>747</v>
      </c>
      <c r="F246" s="258">
        <v>954</v>
      </c>
      <c r="G246" s="258">
        <v>1214</v>
      </c>
      <c r="H246" s="258">
        <v>1120</v>
      </c>
      <c r="I246" s="258">
        <v>751</v>
      </c>
      <c r="J246" s="258">
        <v>1082</v>
      </c>
      <c r="K246" s="223" t="s">
        <v>21</v>
      </c>
    </row>
    <row r="247" spans="1:11" ht="9.3000000000000007" customHeight="1">
      <c r="A247" s="296"/>
      <c r="B247" s="296" t="s">
        <v>4</v>
      </c>
      <c r="C247" s="304">
        <v>269</v>
      </c>
      <c r="D247" s="258">
        <v>469</v>
      </c>
      <c r="E247" s="258">
        <v>529</v>
      </c>
      <c r="F247" s="258">
        <v>916</v>
      </c>
      <c r="G247" s="258">
        <v>832</v>
      </c>
      <c r="H247" s="258">
        <v>528</v>
      </c>
      <c r="I247" s="258">
        <v>356</v>
      </c>
      <c r="J247" s="258">
        <v>1081</v>
      </c>
      <c r="K247" s="223" t="s">
        <v>21</v>
      </c>
    </row>
    <row r="248" spans="1:11" ht="10.8" customHeight="1">
      <c r="A248" s="297"/>
      <c r="B248" s="297" t="s">
        <v>6</v>
      </c>
      <c r="C248" s="307">
        <v>389</v>
      </c>
      <c r="D248" s="259">
        <v>776</v>
      </c>
      <c r="E248" s="259">
        <v>1053</v>
      </c>
      <c r="F248" s="259">
        <v>1595</v>
      </c>
      <c r="G248" s="259">
        <v>1958</v>
      </c>
      <c r="H248" s="259">
        <v>1982</v>
      </c>
      <c r="I248" s="259">
        <v>1754</v>
      </c>
      <c r="J248" s="259">
        <v>832</v>
      </c>
      <c r="K248" s="225" t="s">
        <v>21</v>
      </c>
    </row>
    <row r="249" spans="1:11" ht="10.5" customHeight="1">
      <c r="A249" s="299">
        <v>3.15</v>
      </c>
      <c r="B249" s="298" t="s">
        <v>2</v>
      </c>
      <c r="C249" s="318">
        <v>82.9</v>
      </c>
      <c r="D249" s="237">
        <v>153</v>
      </c>
      <c r="E249" s="237">
        <v>201</v>
      </c>
      <c r="F249" s="85" t="s">
        <v>21</v>
      </c>
      <c r="G249" s="85" t="s">
        <v>21</v>
      </c>
      <c r="H249" s="85" t="s">
        <v>21</v>
      </c>
      <c r="I249" s="85" t="s">
        <v>21</v>
      </c>
      <c r="J249" s="85" t="s">
        <v>21</v>
      </c>
      <c r="K249" s="221" t="s">
        <v>21</v>
      </c>
    </row>
    <row r="250" spans="1:11" ht="9" customHeight="1">
      <c r="A250" s="296"/>
      <c r="B250" s="296" t="s">
        <v>3</v>
      </c>
      <c r="C250" s="304">
        <v>210</v>
      </c>
      <c r="D250" s="258">
        <v>476</v>
      </c>
      <c r="E250" s="258">
        <v>809</v>
      </c>
      <c r="F250" s="258">
        <v>996</v>
      </c>
      <c r="G250" s="258">
        <v>1379</v>
      </c>
      <c r="H250" s="258">
        <v>1363</v>
      </c>
      <c r="I250" s="258">
        <v>1241</v>
      </c>
      <c r="J250" s="258">
        <v>420</v>
      </c>
      <c r="K250" s="223" t="s">
        <v>21</v>
      </c>
    </row>
    <row r="251" spans="1:11" ht="9.3000000000000007" customHeight="1">
      <c r="A251" s="296"/>
      <c r="B251" s="296" t="s">
        <v>4</v>
      </c>
      <c r="C251" s="304">
        <v>268</v>
      </c>
      <c r="D251" s="258">
        <v>484</v>
      </c>
      <c r="E251" s="258">
        <v>586</v>
      </c>
      <c r="F251" s="258">
        <v>969</v>
      </c>
      <c r="G251" s="258">
        <v>1023</v>
      </c>
      <c r="H251" s="258">
        <v>899</v>
      </c>
      <c r="I251" s="258">
        <v>658</v>
      </c>
      <c r="J251" s="258">
        <v>420</v>
      </c>
      <c r="K251" s="223" t="s">
        <v>21</v>
      </c>
    </row>
    <row r="252" spans="1:11" ht="10.8" customHeight="1">
      <c r="A252" s="297"/>
      <c r="B252" s="297" t="s">
        <v>6</v>
      </c>
      <c r="C252" s="307">
        <v>380</v>
      </c>
      <c r="D252" s="259">
        <v>771</v>
      </c>
      <c r="E252" s="259">
        <v>1142</v>
      </c>
      <c r="F252" s="259">
        <v>1647</v>
      </c>
      <c r="G252" s="259">
        <v>2103</v>
      </c>
      <c r="H252" s="259">
        <v>2163</v>
      </c>
      <c r="I252" s="259">
        <v>2123</v>
      </c>
      <c r="J252" s="259">
        <v>1545</v>
      </c>
      <c r="K252" s="225" t="s">
        <v>21</v>
      </c>
    </row>
    <row r="253" spans="1:11" ht="10.5" customHeight="1">
      <c r="A253" s="299">
        <v>3.55</v>
      </c>
      <c r="B253" s="298" t="s">
        <v>2</v>
      </c>
      <c r="C253" s="318">
        <v>78</v>
      </c>
      <c r="D253" s="237">
        <v>155</v>
      </c>
      <c r="E253" s="237">
        <v>202</v>
      </c>
      <c r="F253" s="237">
        <v>221</v>
      </c>
      <c r="G253" s="85" t="s">
        <v>21</v>
      </c>
      <c r="H253" s="85" t="s">
        <v>21</v>
      </c>
      <c r="I253" s="85" t="s">
        <v>21</v>
      </c>
      <c r="J253" s="85" t="s">
        <v>21</v>
      </c>
      <c r="K253" s="221" t="s">
        <v>21</v>
      </c>
    </row>
    <row r="254" spans="1:11" ht="9" customHeight="1">
      <c r="A254" s="296"/>
      <c r="B254" s="296" t="s">
        <v>3</v>
      </c>
      <c r="C254" s="304">
        <v>194</v>
      </c>
      <c r="D254" s="258">
        <v>465</v>
      </c>
      <c r="E254" s="258">
        <v>750</v>
      </c>
      <c r="F254" s="258">
        <v>939</v>
      </c>
      <c r="G254" s="258">
        <v>1327</v>
      </c>
      <c r="H254" s="258">
        <v>1351</v>
      </c>
      <c r="I254" s="258">
        <v>1362</v>
      </c>
      <c r="J254" s="258">
        <v>898</v>
      </c>
      <c r="K254" s="223" t="s">
        <v>21</v>
      </c>
    </row>
    <row r="255" spans="1:11" ht="9.3000000000000007" customHeight="1">
      <c r="A255" s="296"/>
      <c r="B255" s="296" t="s">
        <v>4</v>
      </c>
      <c r="C255" s="304">
        <v>242</v>
      </c>
      <c r="D255" s="258">
        <v>476</v>
      </c>
      <c r="E255" s="258">
        <v>553</v>
      </c>
      <c r="F255" s="258">
        <v>921</v>
      </c>
      <c r="G255" s="258">
        <v>1019</v>
      </c>
      <c r="H255" s="258">
        <v>944</v>
      </c>
      <c r="I255" s="258">
        <v>329</v>
      </c>
      <c r="J255" s="258">
        <v>209</v>
      </c>
      <c r="K255" s="223" t="s">
        <v>21</v>
      </c>
    </row>
    <row r="256" spans="1:11" ht="10.8" customHeight="1">
      <c r="A256" s="297"/>
      <c r="B256" s="297" t="s">
        <v>6</v>
      </c>
      <c r="C256" s="307">
        <v>343</v>
      </c>
      <c r="D256" s="259">
        <v>752</v>
      </c>
      <c r="E256" s="259">
        <v>1055</v>
      </c>
      <c r="F256" s="259">
        <v>1539</v>
      </c>
      <c r="G256" s="259">
        <v>1986</v>
      </c>
      <c r="H256" s="259">
        <v>2079</v>
      </c>
      <c r="I256" s="259">
        <v>2147</v>
      </c>
      <c r="J256" s="259">
        <v>1807</v>
      </c>
      <c r="K256" s="225" t="s">
        <v>21</v>
      </c>
    </row>
    <row r="257" spans="1:11" ht="10.5" customHeight="1">
      <c r="A257" s="299">
        <v>4</v>
      </c>
      <c r="B257" s="298" t="s">
        <v>2</v>
      </c>
      <c r="C257" s="318">
        <v>71.7</v>
      </c>
      <c r="D257" s="237">
        <v>146</v>
      </c>
      <c r="E257" s="237">
        <v>197</v>
      </c>
      <c r="F257" s="237">
        <v>216</v>
      </c>
      <c r="G257" s="237">
        <v>222</v>
      </c>
      <c r="H257" s="85" t="s">
        <v>21</v>
      </c>
      <c r="I257" s="85" t="s">
        <v>21</v>
      </c>
      <c r="J257" s="85" t="s">
        <v>21</v>
      </c>
      <c r="K257" s="221" t="s">
        <v>21</v>
      </c>
    </row>
    <row r="258" spans="1:11" ht="9" customHeight="1">
      <c r="A258" s="296"/>
      <c r="B258" s="296" t="s">
        <v>3</v>
      </c>
      <c r="C258" s="304">
        <v>175</v>
      </c>
      <c r="D258" s="258">
        <v>424</v>
      </c>
      <c r="E258" s="258">
        <v>685</v>
      </c>
      <c r="F258" s="258">
        <v>822</v>
      </c>
      <c r="G258" s="258">
        <v>1257</v>
      </c>
      <c r="H258" s="258">
        <v>1330</v>
      </c>
      <c r="I258" s="258">
        <v>1396</v>
      </c>
      <c r="J258" s="258">
        <v>1169</v>
      </c>
      <c r="K258" s="310">
        <v>997</v>
      </c>
    </row>
    <row r="259" spans="1:11" ht="9.3000000000000007" customHeight="1">
      <c r="A259" s="296"/>
      <c r="B259" s="296" t="s">
        <v>4</v>
      </c>
      <c r="C259" s="304">
        <v>213</v>
      </c>
      <c r="D259" s="258">
        <v>438</v>
      </c>
      <c r="E259" s="258">
        <v>513</v>
      </c>
      <c r="F259" s="258">
        <v>814</v>
      </c>
      <c r="G259" s="258">
        <v>990</v>
      </c>
      <c r="H259" s="258">
        <v>979</v>
      </c>
      <c r="I259" s="258">
        <v>557</v>
      </c>
      <c r="J259" s="258">
        <v>440</v>
      </c>
      <c r="K259" s="223" t="s">
        <v>21</v>
      </c>
    </row>
    <row r="260" spans="1:11" ht="10.8" customHeight="1">
      <c r="A260" s="297"/>
      <c r="B260" s="297" t="s">
        <v>6</v>
      </c>
      <c r="C260" s="307">
        <v>304</v>
      </c>
      <c r="D260" s="259">
        <v>686</v>
      </c>
      <c r="E260" s="259">
        <v>961</v>
      </c>
      <c r="F260" s="259">
        <v>1339</v>
      </c>
      <c r="G260" s="259">
        <v>1855</v>
      </c>
      <c r="H260" s="259">
        <v>1982</v>
      </c>
      <c r="I260" s="259">
        <v>2093</v>
      </c>
      <c r="J260" s="259">
        <v>1919</v>
      </c>
      <c r="K260" s="225" t="s">
        <v>21</v>
      </c>
    </row>
    <row r="261" spans="1:11" ht="10.5" customHeight="1">
      <c r="A261" s="299">
        <v>4.5</v>
      </c>
      <c r="B261" s="298" t="s">
        <v>2</v>
      </c>
      <c r="C261" s="318">
        <v>87.7</v>
      </c>
      <c r="D261" s="237">
        <v>163</v>
      </c>
      <c r="E261" s="237">
        <v>231</v>
      </c>
      <c r="F261" s="237">
        <v>297</v>
      </c>
      <c r="G261" s="237">
        <v>315</v>
      </c>
      <c r="H261" s="85" t="s">
        <v>21</v>
      </c>
      <c r="I261" s="85" t="s">
        <v>21</v>
      </c>
      <c r="J261" s="85" t="s">
        <v>21</v>
      </c>
      <c r="K261" s="221" t="s">
        <v>21</v>
      </c>
    </row>
    <row r="262" spans="1:11" ht="9" customHeight="1">
      <c r="A262" s="296"/>
      <c r="B262" s="296" t="s">
        <v>3</v>
      </c>
      <c r="C262" s="304">
        <v>194</v>
      </c>
      <c r="D262" s="258">
        <v>434</v>
      </c>
      <c r="E262" s="258">
        <v>698</v>
      </c>
      <c r="F262" s="258">
        <v>941</v>
      </c>
      <c r="G262" s="258">
        <v>1198</v>
      </c>
      <c r="H262" s="258">
        <v>1396</v>
      </c>
      <c r="I262" s="258">
        <v>1672</v>
      </c>
      <c r="J262" s="258">
        <v>1500</v>
      </c>
      <c r="K262" s="310">
        <v>831</v>
      </c>
    </row>
    <row r="263" spans="1:11" ht="9.3000000000000007" customHeight="1">
      <c r="A263" s="296"/>
      <c r="B263" s="296" t="s">
        <v>4</v>
      </c>
      <c r="C263" s="304">
        <v>234</v>
      </c>
      <c r="D263" s="258">
        <v>451</v>
      </c>
      <c r="E263" s="258">
        <v>537</v>
      </c>
      <c r="F263" s="258">
        <v>937</v>
      </c>
      <c r="G263" s="258">
        <v>964</v>
      </c>
      <c r="H263" s="258">
        <v>1075</v>
      </c>
      <c r="I263" s="258">
        <v>914</v>
      </c>
      <c r="J263" s="258">
        <v>458</v>
      </c>
      <c r="K263" s="223" t="s">
        <v>21</v>
      </c>
    </row>
    <row r="264" spans="1:11" ht="10.95" customHeight="1">
      <c r="A264" s="297"/>
      <c r="B264" s="297" t="s">
        <v>6</v>
      </c>
      <c r="C264" s="307">
        <v>329</v>
      </c>
      <c r="D264" s="259">
        <v>693</v>
      </c>
      <c r="E264" s="259">
        <v>964</v>
      </c>
      <c r="F264" s="259">
        <v>1496</v>
      </c>
      <c r="G264" s="259">
        <v>1751</v>
      </c>
      <c r="H264" s="259">
        <v>2037</v>
      </c>
      <c r="I264" s="259">
        <v>2347</v>
      </c>
      <c r="J264" s="259">
        <v>2187</v>
      </c>
      <c r="K264" s="225" t="s">
        <v>21</v>
      </c>
    </row>
    <row r="265" spans="1:11" ht="10.199999999999999" customHeight="1">
      <c r="A265" s="299">
        <v>5</v>
      </c>
      <c r="B265" s="298" t="s">
        <v>2</v>
      </c>
      <c r="C265" s="318">
        <v>80.400000000000006</v>
      </c>
      <c r="D265" s="237">
        <v>156</v>
      </c>
      <c r="E265" s="237">
        <v>231</v>
      </c>
      <c r="F265" s="237">
        <v>284</v>
      </c>
      <c r="G265" s="237">
        <v>354</v>
      </c>
      <c r="H265" s="85" t="s">
        <v>21</v>
      </c>
      <c r="I265" s="85" t="s">
        <v>21</v>
      </c>
      <c r="J265" s="85" t="s">
        <v>21</v>
      </c>
      <c r="K265" s="221" t="s">
        <v>21</v>
      </c>
    </row>
    <row r="266" spans="1:11" ht="9" customHeight="1">
      <c r="A266" s="296"/>
      <c r="B266" s="296" t="s">
        <v>3</v>
      </c>
      <c r="C266" s="304">
        <v>176</v>
      </c>
      <c r="D266" s="258">
        <v>412</v>
      </c>
      <c r="E266" s="258">
        <v>675</v>
      </c>
      <c r="F266" s="258">
        <v>853</v>
      </c>
      <c r="G266" s="258">
        <v>1193</v>
      </c>
      <c r="H266" s="258">
        <v>1355</v>
      </c>
      <c r="I266" s="258">
        <v>1769</v>
      </c>
      <c r="J266" s="258">
        <v>1818</v>
      </c>
      <c r="K266" s="310">
        <v>1457</v>
      </c>
    </row>
    <row r="267" spans="1:11" ht="9.3000000000000007" customHeight="1">
      <c r="A267" s="296"/>
      <c r="B267" s="296" t="s">
        <v>4</v>
      </c>
      <c r="C267" s="304">
        <v>207</v>
      </c>
      <c r="D267" s="258">
        <v>431</v>
      </c>
      <c r="E267" s="258">
        <v>525</v>
      </c>
      <c r="F267" s="258">
        <v>857</v>
      </c>
      <c r="G267" s="258">
        <v>981</v>
      </c>
      <c r="H267" s="258">
        <v>1055</v>
      </c>
      <c r="I267" s="258">
        <v>1084</v>
      </c>
      <c r="J267" s="258">
        <v>772</v>
      </c>
      <c r="K267" s="223" t="s">
        <v>21</v>
      </c>
    </row>
    <row r="268" spans="1:11" ht="10.95" customHeight="1">
      <c r="A268" s="297"/>
      <c r="B268" s="297" t="s">
        <v>6</v>
      </c>
      <c r="C268" s="307">
        <v>292</v>
      </c>
      <c r="D268" s="259">
        <v>660</v>
      </c>
      <c r="E268" s="259">
        <v>933</v>
      </c>
      <c r="F268" s="259">
        <v>1351</v>
      </c>
      <c r="G268" s="259">
        <v>1734</v>
      </c>
      <c r="H268" s="259">
        <v>1963</v>
      </c>
      <c r="I268" s="259">
        <v>2403</v>
      </c>
      <c r="J268" s="259">
        <v>2535</v>
      </c>
      <c r="K268" s="225" t="s">
        <v>21</v>
      </c>
    </row>
    <row r="269" spans="1:11" ht="10.199999999999999" customHeight="1">
      <c r="A269" s="299">
        <v>5.6</v>
      </c>
      <c r="B269" s="298" t="s">
        <v>2</v>
      </c>
      <c r="C269" s="318">
        <v>72.900000000000006</v>
      </c>
      <c r="D269" s="237">
        <v>143</v>
      </c>
      <c r="E269" s="237">
        <v>213</v>
      </c>
      <c r="F269" s="237">
        <v>286</v>
      </c>
      <c r="G269" s="237">
        <v>350</v>
      </c>
      <c r="H269" s="237">
        <v>370</v>
      </c>
      <c r="I269" s="85" t="s">
        <v>21</v>
      </c>
      <c r="J269" s="85" t="s">
        <v>21</v>
      </c>
      <c r="K269" s="221" t="s">
        <v>21</v>
      </c>
    </row>
    <row r="270" spans="1:11" ht="9" customHeight="1">
      <c r="A270" s="296"/>
      <c r="B270" s="296" t="s">
        <v>3</v>
      </c>
      <c r="C270" s="304">
        <v>158</v>
      </c>
      <c r="D270" s="258">
        <v>370</v>
      </c>
      <c r="E270" s="258">
        <v>604</v>
      </c>
      <c r="F270" s="258">
        <v>823</v>
      </c>
      <c r="G270" s="258">
        <v>1136</v>
      </c>
      <c r="H270" s="258">
        <v>1252</v>
      </c>
      <c r="I270" s="258">
        <v>1660</v>
      </c>
      <c r="J270" s="258">
        <v>1801</v>
      </c>
      <c r="K270" s="310">
        <v>1835</v>
      </c>
    </row>
    <row r="271" spans="1:11" ht="9.3000000000000007" customHeight="1">
      <c r="A271" s="296"/>
      <c r="B271" s="296" t="s">
        <v>4</v>
      </c>
      <c r="C271" s="304">
        <v>182</v>
      </c>
      <c r="D271" s="258">
        <v>391</v>
      </c>
      <c r="E271" s="258">
        <v>476</v>
      </c>
      <c r="F271" s="258">
        <v>836</v>
      </c>
      <c r="G271" s="258">
        <v>940</v>
      </c>
      <c r="H271" s="258">
        <v>997</v>
      </c>
      <c r="I271" s="258">
        <v>1073</v>
      </c>
      <c r="J271" s="258">
        <v>941</v>
      </c>
      <c r="K271" s="223" t="s">
        <v>21</v>
      </c>
    </row>
    <row r="272" spans="1:11" ht="10.8" customHeight="1">
      <c r="A272" s="387"/>
      <c r="B272" s="387" t="s">
        <v>6</v>
      </c>
      <c r="C272" s="370">
        <v>257</v>
      </c>
      <c r="D272" s="371">
        <v>594</v>
      </c>
      <c r="E272" s="371">
        <v>837</v>
      </c>
      <c r="F272" s="371">
        <v>1303</v>
      </c>
      <c r="G272" s="371">
        <v>1647</v>
      </c>
      <c r="H272" s="371">
        <v>1795</v>
      </c>
      <c r="I272" s="371">
        <v>2219</v>
      </c>
      <c r="J272" s="371">
        <v>2429</v>
      </c>
      <c r="K272" s="380" t="s">
        <v>21</v>
      </c>
    </row>
    <row r="294" spans="1:12" ht="40.799999999999997" customHeight="1">
      <c r="A294" s="449" t="s">
        <v>90</v>
      </c>
      <c r="B294" s="449"/>
      <c r="C294" s="449"/>
      <c r="D294" s="449"/>
      <c r="E294" s="449"/>
      <c r="F294" s="449"/>
      <c r="G294" s="449"/>
      <c r="H294" s="449"/>
      <c r="I294" s="449"/>
      <c r="J294" s="449"/>
      <c r="K294" s="449"/>
      <c r="L294" s="449"/>
    </row>
    <row r="295" spans="1:12" ht="12.3" customHeight="1">
      <c r="A295" s="450" t="s">
        <v>69</v>
      </c>
      <c r="B295" s="451"/>
      <c r="C295" s="454" t="s">
        <v>14</v>
      </c>
      <c r="D295" s="455"/>
      <c r="E295" s="455"/>
      <c r="F295" s="455"/>
      <c r="G295" s="455"/>
      <c r="H295" s="455"/>
      <c r="I295" s="455"/>
      <c r="J295" s="455"/>
      <c r="K295" s="455"/>
    </row>
    <row r="296" spans="1:12" ht="9" customHeight="1">
      <c r="A296" s="452"/>
      <c r="B296" s="453"/>
      <c r="C296" s="33">
        <v>3</v>
      </c>
      <c r="D296" s="33">
        <v>5</v>
      </c>
      <c r="E296" s="33">
        <v>7</v>
      </c>
      <c r="F296" s="33">
        <v>9</v>
      </c>
      <c r="G296" s="33">
        <v>11</v>
      </c>
      <c r="H296" s="33">
        <v>13</v>
      </c>
      <c r="I296" s="33">
        <v>15</v>
      </c>
      <c r="J296" s="33">
        <v>17</v>
      </c>
      <c r="K296" s="34">
        <v>19</v>
      </c>
    </row>
    <row r="297" spans="1:12" ht="10.5" customHeight="1">
      <c r="A297" s="299">
        <v>1.25</v>
      </c>
      <c r="B297" s="298" t="s">
        <v>2</v>
      </c>
      <c r="C297" s="153" t="s">
        <v>21</v>
      </c>
      <c r="D297" s="85" t="s">
        <v>21</v>
      </c>
      <c r="E297" s="85" t="s">
        <v>21</v>
      </c>
      <c r="F297" s="85" t="s">
        <v>21</v>
      </c>
      <c r="G297" s="85" t="s">
        <v>1</v>
      </c>
      <c r="H297" s="85" t="s">
        <v>1</v>
      </c>
      <c r="I297" s="85" t="s">
        <v>1</v>
      </c>
      <c r="J297" s="85" t="s">
        <v>1</v>
      </c>
      <c r="K297" s="221" t="s">
        <v>1</v>
      </c>
    </row>
    <row r="298" spans="1:12" ht="9" customHeight="1">
      <c r="A298" s="296"/>
      <c r="B298" s="296" t="s">
        <v>3</v>
      </c>
      <c r="C298" s="304">
        <v>238</v>
      </c>
      <c r="D298" s="258">
        <v>494</v>
      </c>
      <c r="E298" s="258">
        <v>562</v>
      </c>
      <c r="F298" s="146" t="s">
        <v>21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23" t="s">
        <v>1</v>
      </c>
    </row>
    <row r="299" spans="1:12" ht="9.3000000000000007" customHeight="1">
      <c r="A299" s="296"/>
      <c r="B299" s="296" t="s">
        <v>4</v>
      </c>
      <c r="C299" s="304">
        <v>390</v>
      </c>
      <c r="D299" s="258">
        <v>383</v>
      </c>
      <c r="E299" s="258">
        <v>427</v>
      </c>
      <c r="F299" s="146" t="s">
        <v>21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23" t="s">
        <v>1</v>
      </c>
    </row>
    <row r="300" spans="1:12" ht="10.8" customHeight="1">
      <c r="A300" s="297"/>
      <c r="B300" s="297" t="s">
        <v>6</v>
      </c>
      <c r="C300" s="307">
        <v>587</v>
      </c>
      <c r="D300" s="259">
        <v>996</v>
      </c>
      <c r="E300" s="259">
        <v>1089</v>
      </c>
      <c r="F300" s="259">
        <v>1369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25" t="s">
        <v>1</v>
      </c>
    </row>
    <row r="301" spans="1:12" ht="10.5" customHeight="1">
      <c r="A301" s="430">
        <v>1.4</v>
      </c>
      <c r="B301" s="298" t="s">
        <v>2</v>
      </c>
      <c r="C301" s="153" t="s">
        <v>21</v>
      </c>
      <c r="D301" s="85" t="s">
        <v>21</v>
      </c>
      <c r="E301" s="85" t="s">
        <v>21</v>
      </c>
      <c r="F301" s="85" t="s">
        <v>21</v>
      </c>
      <c r="G301" s="85" t="s">
        <v>1</v>
      </c>
      <c r="H301" s="85" t="s">
        <v>1</v>
      </c>
      <c r="I301" s="85" t="s">
        <v>1</v>
      </c>
      <c r="J301" s="85" t="s">
        <v>1</v>
      </c>
      <c r="K301" s="221" t="s">
        <v>1</v>
      </c>
    </row>
    <row r="302" spans="1:12" ht="9" customHeight="1">
      <c r="A302" s="296"/>
      <c r="B302" s="296" t="s">
        <v>3</v>
      </c>
      <c r="C302" s="304">
        <v>245</v>
      </c>
      <c r="D302" s="258">
        <v>524</v>
      </c>
      <c r="E302" s="258">
        <v>662</v>
      </c>
      <c r="F302" s="146" t="s">
        <v>21</v>
      </c>
      <c r="G302" s="146" t="s">
        <v>1</v>
      </c>
      <c r="H302" s="146" t="s">
        <v>1</v>
      </c>
      <c r="I302" s="146" t="s">
        <v>1</v>
      </c>
      <c r="J302" s="146" t="s">
        <v>1</v>
      </c>
      <c r="K302" s="223" t="s">
        <v>1</v>
      </c>
    </row>
    <row r="303" spans="1:12" ht="9.3000000000000007" customHeight="1">
      <c r="A303" s="296"/>
      <c r="B303" s="296" t="s">
        <v>4</v>
      </c>
      <c r="C303" s="304">
        <v>383</v>
      </c>
      <c r="D303" s="258">
        <v>418</v>
      </c>
      <c r="E303" s="146" t="s">
        <v>21</v>
      </c>
      <c r="F303" s="146" t="s">
        <v>21</v>
      </c>
      <c r="G303" s="146" t="s">
        <v>1</v>
      </c>
      <c r="H303" s="146" t="s">
        <v>1</v>
      </c>
      <c r="I303" s="146" t="s">
        <v>1</v>
      </c>
      <c r="J303" s="146" t="s">
        <v>1</v>
      </c>
      <c r="K303" s="223" t="s">
        <v>1</v>
      </c>
    </row>
    <row r="304" spans="1:12" ht="10.8" customHeight="1">
      <c r="A304" s="297"/>
      <c r="B304" s="297" t="s">
        <v>6</v>
      </c>
      <c r="C304" s="307">
        <v>575</v>
      </c>
      <c r="D304" s="259">
        <v>1009</v>
      </c>
      <c r="E304" s="259">
        <v>1145</v>
      </c>
      <c r="F304" s="259">
        <v>1530</v>
      </c>
      <c r="G304" s="149" t="s">
        <v>1</v>
      </c>
      <c r="H304" s="149" t="s">
        <v>1</v>
      </c>
      <c r="I304" s="149" t="s">
        <v>1</v>
      </c>
      <c r="J304" s="149" t="s">
        <v>1</v>
      </c>
      <c r="K304" s="225" t="s">
        <v>1</v>
      </c>
    </row>
    <row r="305" spans="1:11" ht="10.5" customHeight="1">
      <c r="A305" s="299">
        <v>1.6</v>
      </c>
      <c r="B305" s="298" t="s">
        <v>2</v>
      </c>
      <c r="C305" s="153" t="s">
        <v>21</v>
      </c>
      <c r="D305" s="85" t="s">
        <v>21</v>
      </c>
      <c r="E305" s="85" t="s">
        <v>21</v>
      </c>
      <c r="F305" s="85" t="s">
        <v>21</v>
      </c>
      <c r="G305" s="85" t="s">
        <v>21</v>
      </c>
      <c r="H305" s="85" t="s">
        <v>21</v>
      </c>
      <c r="I305" s="85" t="s">
        <v>1</v>
      </c>
      <c r="J305" s="85" t="s">
        <v>1</v>
      </c>
      <c r="K305" s="221" t="s">
        <v>1</v>
      </c>
    </row>
    <row r="306" spans="1:11" ht="9" customHeight="1">
      <c r="A306" s="296"/>
      <c r="B306" s="296" t="s">
        <v>3</v>
      </c>
      <c r="C306" s="304">
        <v>250</v>
      </c>
      <c r="D306" s="258">
        <v>572</v>
      </c>
      <c r="E306" s="258">
        <v>784</v>
      </c>
      <c r="F306" s="258">
        <v>657</v>
      </c>
      <c r="G306" s="146" t="s">
        <v>21</v>
      </c>
      <c r="H306" s="146" t="s">
        <v>21</v>
      </c>
      <c r="I306" s="146" t="s">
        <v>1</v>
      </c>
      <c r="J306" s="146" t="s">
        <v>1</v>
      </c>
      <c r="K306" s="223" t="s">
        <v>1</v>
      </c>
    </row>
    <row r="307" spans="1:11" ht="9.3000000000000007" customHeight="1">
      <c r="A307" s="296"/>
      <c r="B307" s="296" t="s">
        <v>4</v>
      </c>
      <c r="C307" s="304">
        <v>368</v>
      </c>
      <c r="D307" s="258">
        <v>467</v>
      </c>
      <c r="E307" s="258">
        <v>220</v>
      </c>
      <c r="F307" s="258">
        <v>334</v>
      </c>
      <c r="G307" s="258">
        <v>318</v>
      </c>
      <c r="H307" s="258">
        <v>227</v>
      </c>
      <c r="I307" s="146" t="s">
        <v>1</v>
      </c>
      <c r="J307" s="146" t="s">
        <v>1</v>
      </c>
      <c r="K307" s="223" t="s">
        <v>1</v>
      </c>
    </row>
    <row r="308" spans="1:11" ht="10.8" customHeight="1">
      <c r="A308" s="297"/>
      <c r="B308" s="297" t="s">
        <v>6</v>
      </c>
      <c r="C308" s="307">
        <v>550</v>
      </c>
      <c r="D308" s="259">
        <v>1048</v>
      </c>
      <c r="E308" s="259">
        <v>1239</v>
      </c>
      <c r="F308" s="259">
        <v>1649</v>
      </c>
      <c r="G308" s="259">
        <v>1285</v>
      </c>
      <c r="H308" s="259">
        <v>1609</v>
      </c>
      <c r="I308" s="149" t="s">
        <v>1</v>
      </c>
      <c r="J308" s="149" t="s">
        <v>1</v>
      </c>
      <c r="K308" s="225" t="s">
        <v>1</v>
      </c>
    </row>
    <row r="309" spans="1:11" ht="10.5" customHeight="1">
      <c r="A309" s="299">
        <v>1.8</v>
      </c>
      <c r="B309" s="298" t="s">
        <v>2</v>
      </c>
      <c r="C309" s="318">
        <v>45.2</v>
      </c>
      <c r="D309" s="85" t="s">
        <v>21</v>
      </c>
      <c r="E309" s="85" t="s">
        <v>21</v>
      </c>
      <c r="F309" s="85" t="s">
        <v>21</v>
      </c>
      <c r="G309" s="85" t="s">
        <v>21</v>
      </c>
      <c r="H309" s="85" t="s">
        <v>21</v>
      </c>
      <c r="I309" s="85" t="s">
        <v>1</v>
      </c>
      <c r="J309" s="85" t="s">
        <v>1</v>
      </c>
      <c r="K309" s="221" t="s">
        <v>1</v>
      </c>
    </row>
    <row r="310" spans="1:11" ht="9" customHeight="1">
      <c r="A310" s="296"/>
      <c r="B310" s="296" t="s">
        <v>3</v>
      </c>
      <c r="C310" s="304">
        <v>281</v>
      </c>
      <c r="D310" s="258">
        <v>557</v>
      </c>
      <c r="E310" s="258">
        <v>781</v>
      </c>
      <c r="F310" s="258">
        <v>778</v>
      </c>
      <c r="G310" s="146" t="s">
        <v>21</v>
      </c>
      <c r="H310" s="146" t="s">
        <v>21</v>
      </c>
      <c r="I310" s="146" t="s">
        <v>1</v>
      </c>
      <c r="J310" s="146" t="s">
        <v>1</v>
      </c>
      <c r="K310" s="223" t="s">
        <v>1</v>
      </c>
    </row>
    <row r="311" spans="1:11" ht="9.3000000000000007" customHeight="1">
      <c r="A311" s="296"/>
      <c r="B311" s="296" t="s">
        <v>4</v>
      </c>
      <c r="C311" s="304">
        <v>393</v>
      </c>
      <c r="D311" s="258">
        <v>464</v>
      </c>
      <c r="E311" s="258">
        <v>281</v>
      </c>
      <c r="F311" s="258">
        <v>478</v>
      </c>
      <c r="G311" s="258">
        <v>339</v>
      </c>
      <c r="H311" s="258">
        <v>652</v>
      </c>
      <c r="I311" s="146" t="s">
        <v>1</v>
      </c>
      <c r="J311" s="146" t="s">
        <v>1</v>
      </c>
      <c r="K311" s="223" t="s">
        <v>1</v>
      </c>
    </row>
    <row r="312" spans="1:11" ht="10.8" customHeight="1">
      <c r="A312" s="297"/>
      <c r="B312" s="297" t="s">
        <v>6</v>
      </c>
      <c r="C312" s="307">
        <v>591</v>
      </c>
      <c r="D312" s="259">
        <v>983</v>
      </c>
      <c r="E312" s="259">
        <v>1197</v>
      </c>
      <c r="F312" s="259">
        <v>1682</v>
      </c>
      <c r="G312" s="259">
        <v>1586</v>
      </c>
      <c r="H312" s="259">
        <v>67</v>
      </c>
      <c r="I312" s="149" t="s">
        <v>1</v>
      </c>
      <c r="J312" s="149" t="s">
        <v>1</v>
      </c>
      <c r="K312" s="225" t="s">
        <v>1</v>
      </c>
    </row>
    <row r="313" spans="1:11" ht="10.5" customHeight="1">
      <c r="A313" s="299">
        <v>2</v>
      </c>
      <c r="B313" s="298" t="s">
        <v>2</v>
      </c>
      <c r="C313" s="318">
        <v>52.4</v>
      </c>
      <c r="D313" s="85" t="s">
        <v>21</v>
      </c>
      <c r="E313" s="85" t="s">
        <v>21</v>
      </c>
      <c r="F313" s="85" t="s">
        <v>21</v>
      </c>
      <c r="G313" s="85" t="s">
        <v>21</v>
      </c>
      <c r="H313" s="85" t="s">
        <v>21</v>
      </c>
      <c r="I313" s="85" t="s">
        <v>21</v>
      </c>
      <c r="J313" s="85" t="s">
        <v>21</v>
      </c>
      <c r="K313" s="221" t="s">
        <v>21</v>
      </c>
    </row>
    <row r="314" spans="1:11" ht="9" customHeight="1">
      <c r="A314" s="296"/>
      <c r="B314" s="296" t="s">
        <v>3</v>
      </c>
      <c r="C314" s="304">
        <v>275</v>
      </c>
      <c r="D314" s="258">
        <v>558</v>
      </c>
      <c r="E314" s="258">
        <v>792</v>
      </c>
      <c r="F314" s="258">
        <v>863</v>
      </c>
      <c r="G314" s="258">
        <v>637</v>
      </c>
      <c r="H314" s="146" t="s">
        <v>21</v>
      </c>
      <c r="I314" s="146" t="s">
        <v>21</v>
      </c>
      <c r="J314" s="146" t="s">
        <v>21</v>
      </c>
      <c r="K314" s="223" t="s">
        <v>21</v>
      </c>
    </row>
    <row r="315" spans="1:11" ht="9.3000000000000007" customHeight="1">
      <c r="A315" s="296"/>
      <c r="B315" s="296" t="s">
        <v>4</v>
      </c>
      <c r="C315" s="304">
        <v>375</v>
      </c>
      <c r="D315" s="258">
        <v>473</v>
      </c>
      <c r="E315" s="258">
        <v>339</v>
      </c>
      <c r="F315" s="258">
        <v>587</v>
      </c>
      <c r="G315" s="258">
        <v>581</v>
      </c>
      <c r="H315" s="258">
        <v>869</v>
      </c>
      <c r="I315" s="146" t="s">
        <v>21</v>
      </c>
      <c r="J315" s="146" t="s">
        <v>21</v>
      </c>
      <c r="K315" s="223" t="s">
        <v>21</v>
      </c>
    </row>
    <row r="316" spans="1:11" ht="10.8" customHeight="1">
      <c r="A316" s="297"/>
      <c r="B316" s="297" t="s">
        <v>6</v>
      </c>
      <c r="C316" s="307">
        <v>564</v>
      </c>
      <c r="D316" s="259">
        <v>963</v>
      </c>
      <c r="E316" s="259">
        <v>1185</v>
      </c>
      <c r="F316" s="259">
        <v>1682</v>
      </c>
      <c r="G316" s="259">
        <v>1815</v>
      </c>
      <c r="H316" s="149" t="s">
        <v>21</v>
      </c>
      <c r="I316" s="149" t="s">
        <v>21</v>
      </c>
      <c r="J316" s="149" t="s">
        <v>21</v>
      </c>
      <c r="K316" s="225" t="s">
        <v>21</v>
      </c>
    </row>
    <row r="317" spans="1:11" ht="10.5" customHeight="1">
      <c r="A317" s="299">
        <v>2.2400000000000002</v>
      </c>
      <c r="B317" s="298" t="s">
        <v>2</v>
      </c>
      <c r="C317" s="318">
        <v>56.8</v>
      </c>
      <c r="D317" s="85" t="s">
        <v>21</v>
      </c>
      <c r="E317" s="85" t="s">
        <v>21</v>
      </c>
      <c r="F317" s="85" t="s">
        <v>21</v>
      </c>
      <c r="G317" s="85" t="s">
        <v>21</v>
      </c>
      <c r="H317" s="85" t="s">
        <v>21</v>
      </c>
      <c r="I317" s="85" t="s">
        <v>21</v>
      </c>
      <c r="J317" s="85" t="s">
        <v>21</v>
      </c>
      <c r="K317" s="221" t="s">
        <v>21</v>
      </c>
    </row>
    <row r="318" spans="1:11" ht="9" customHeight="1">
      <c r="A318" s="296"/>
      <c r="B318" s="296" t="s">
        <v>3</v>
      </c>
      <c r="C318" s="304">
        <v>266</v>
      </c>
      <c r="D318" s="258">
        <v>548</v>
      </c>
      <c r="E318" s="258">
        <v>779</v>
      </c>
      <c r="F318" s="258">
        <v>895</v>
      </c>
      <c r="G318" s="258">
        <v>865</v>
      </c>
      <c r="H318" s="146" t="s">
        <v>21</v>
      </c>
      <c r="I318" s="146" t="s">
        <v>21</v>
      </c>
      <c r="J318" s="146" t="s">
        <v>21</v>
      </c>
      <c r="K318" s="223" t="s">
        <v>21</v>
      </c>
    </row>
    <row r="319" spans="1:11" ht="9.3000000000000007" customHeight="1">
      <c r="A319" s="296"/>
      <c r="B319" s="296" t="s">
        <v>4</v>
      </c>
      <c r="C319" s="304">
        <v>355</v>
      </c>
      <c r="D319" s="258">
        <v>471</v>
      </c>
      <c r="E319" s="258">
        <v>391</v>
      </c>
      <c r="F319" s="258">
        <v>666</v>
      </c>
      <c r="G319" s="258">
        <v>675</v>
      </c>
      <c r="H319" s="258">
        <v>1042</v>
      </c>
      <c r="I319" s="146" t="s">
        <v>21</v>
      </c>
      <c r="J319" s="146" t="s">
        <v>21</v>
      </c>
      <c r="K319" s="223" t="s">
        <v>21</v>
      </c>
    </row>
    <row r="320" spans="1:11" ht="10.8" customHeight="1">
      <c r="A320" s="297"/>
      <c r="B320" s="297" t="s">
        <v>6</v>
      </c>
      <c r="C320" s="307">
        <v>534</v>
      </c>
      <c r="D320" s="259">
        <v>929</v>
      </c>
      <c r="E320" s="259">
        <v>1135</v>
      </c>
      <c r="F320" s="259">
        <v>1655</v>
      </c>
      <c r="G320" s="259">
        <v>1918</v>
      </c>
      <c r="H320" s="149" t="s">
        <v>21</v>
      </c>
      <c r="I320" s="149" t="s">
        <v>21</v>
      </c>
      <c r="J320" s="149" t="s">
        <v>21</v>
      </c>
      <c r="K320" s="225" t="s">
        <v>21</v>
      </c>
    </row>
    <row r="321" spans="1:11" ht="10.5" customHeight="1">
      <c r="A321" s="299">
        <v>2.5</v>
      </c>
      <c r="B321" s="298" t="s">
        <v>2</v>
      </c>
      <c r="C321" s="318">
        <v>60</v>
      </c>
      <c r="D321" s="85" t="s">
        <v>21</v>
      </c>
      <c r="E321" s="85" t="s">
        <v>21</v>
      </c>
      <c r="F321" s="85" t="s">
        <v>21</v>
      </c>
      <c r="G321" s="85" t="s">
        <v>21</v>
      </c>
      <c r="H321" s="85" t="s">
        <v>21</v>
      </c>
      <c r="I321" s="85" t="s">
        <v>21</v>
      </c>
      <c r="J321" s="85" t="s">
        <v>21</v>
      </c>
      <c r="K321" s="221" t="s">
        <v>21</v>
      </c>
    </row>
    <row r="322" spans="1:11" ht="9" customHeight="1">
      <c r="A322" s="296"/>
      <c r="B322" s="296" t="s">
        <v>3</v>
      </c>
      <c r="C322" s="304">
        <v>250</v>
      </c>
      <c r="D322" s="258">
        <v>530</v>
      </c>
      <c r="E322" s="258">
        <v>758</v>
      </c>
      <c r="F322" s="258">
        <v>897</v>
      </c>
      <c r="G322" s="258">
        <v>1028</v>
      </c>
      <c r="H322" s="146" t="s">
        <v>21</v>
      </c>
      <c r="I322" s="146" t="s">
        <v>21</v>
      </c>
      <c r="J322" s="146" t="s">
        <v>21</v>
      </c>
      <c r="K322" s="223" t="s">
        <v>21</v>
      </c>
    </row>
    <row r="323" spans="1:11" ht="9.3000000000000007" customHeight="1">
      <c r="A323" s="296"/>
      <c r="B323" s="296" t="s">
        <v>4</v>
      </c>
      <c r="C323" s="304">
        <v>321</v>
      </c>
      <c r="D323" s="258">
        <v>462</v>
      </c>
      <c r="E323" s="258">
        <v>407</v>
      </c>
      <c r="F323" s="258">
        <v>704</v>
      </c>
      <c r="G323" s="258">
        <v>217</v>
      </c>
      <c r="H323" s="258">
        <v>223</v>
      </c>
      <c r="I323" s="258">
        <v>653</v>
      </c>
      <c r="J323" s="146" t="s">
        <v>21</v>
      </c>
      <c r="K323" s="223" t="s">
        <v>21</v>
      </c>
    </row>
    <row r="324" spans="1:11" ht="10.8" customHeight="1">
      <c r="A324" s="297"/>
      <c r="B324" s="297" t="s">
        <v>6</v>
      </c>
      <c r="C324" s="307">
        <v>485</v>
      </c>
      <c r="D324" s="259">
        <v>886</v>
      </c>
      <c r="E324" s="259">
        <v>1088</v>
      </c>
      <c r="F324" s="259">
        <v>1600</v>
      </c>
      <c r="G324" s="259">
        <v>1956</v>
      </c>
      <c r="H324" s="259">
        <v>1459</v>
      </c>
      <c r="I324" s="149" t="s">
        <v>21</v>
      </c>
      <c r="J324" s="149" t="s">
        <v>21</v>
      </c>
      <c r="K324" s="225" t="s">
        <v>21</v>
      </c>
    </row>
    <row r="325" spans="1:11" ht="10.5" customHeight="1">
      <c r="A325" s="299">
        <v>2.8</v>
      </c>
      <c r="B325" s="298" t="s">
        <v>2</v>
      </c>
      <c r="C325" s="318">
        <v>60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221" t="s">
        <v>21</v>
      </c>
    </row>
    <row r="326" spans="1:11" ht="9" customHeight="1">
      <c r="A326" s="296"/>
      <c r="B326" s="296" t="s">
        <v>3</v>
      </c>
      <c r="C326" s="304">
        <v>235</v>
      </c>
      <c r="D326" s="258">
        <v>504</v>
      </c>
      <c r="E326" s="258">
        <v>788</v>
      </c>
      <c r="F326" s="258">
        <v>953</v>
      </c>
      <c r="G326" s="258">
        <v>1117</v>
      </c>
      <c r="H326" s="146" t="s">
        <v>21</v>
      </c>
      <c r="I326" s="146" t="s">
        <v>21</v>
      </c>
      <c r="J326" s="146" t="s">
        <v>21</v>
      </c>
      <c r="K326" s="223" t="s">
        <v>21</v>
      </c>
    </row>
    <row r="327" spans="1:11" ht="9.3000000000000007" customHeight="1">
      <c r="A327" s="296"/>
      <c r="B327" s="296" t="s">
        <v>4</v>
      </c>
      <c r="C327" s="304">
        <v>295</v>
      </c>
      <c r="D327" s="258">
        <v>446</v>
      </c>
      <c r="E327" s="258">
        <v>443</v>
      </c>
      <c r="F327" s="258">
        <v>767</v>
      </c>
      <c r="G327" s="258">
        <v>398</v>
      </c>
      <c r="H327" s="258">
        <v>386</v>
      </c>
      <c r="I327" s="258">
        <v>885</v>
      </c>
      <c r="J327" s="146" t="s">
        <v>21</v>
      </c>
      <c r="K327" s="223" t="s">
        <v>21</v>
      </c>
    </row>
    <row r="328" spans="1:11" ht="10.8" customHeight="1">
      <c r="A328" s="297"/>
      <c r="B328" s="297" t="s">
        <v>6</v>
      </c>
      <c r="C328" s="307">
        <v>447</v>
      </c>
      <c r="D328" s="259">
        <v>835</v>
      </c>
      <c r="E328" s="259">
        <v>1116</v>
      </c>
      <c r="F328" s="259">
        <v>1655</v>
      </c>
      <c r="G328" s="259">
        <v>1939</v>
      </c>
      <c r="H328" s="259">
        <v>1686</v>
      </c>
      <c r="I328" s="149" t="s">
        <v>21</v>
      </c>
      <c r="J328" s="149" t="s">
        <v>21</v>
      </c>
      <c r="K328" s="225" t="s">
        <v>21</v>
      </c>
    </row>
    <row r="329" spans="1:11" ht="10.5" customHeight="1">
      <c r="A329" s="299">
        <v>3.15</v>
      </c>
      <c r="B329" s="298" t="s">
        <v>2</v>
      </c>
      <c r="C329" s="318">
        <v>74.3</v>
      </c>
      <c r="D329" s="237">
        <v>121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221" t="s">
        <v>21</v>
      </c>
    </row>
    <row r="330" spans="1:11" ht="9" customHeight="1">
      <c r="A330" s="296"/>
      <c r="B330" s="296" t="s">
        <v>3</v>
      </c>
      <c r="C330" s="304">
        <v>237</v>
      </c>
      <c r="D330" s="258">
        <v>532</v>
      </c>
      <c r="E330" s="258">
        <v>878</v>
      </c>
      <c r="F330" s="258">
        <v>1033</v>
      </c>
      <c r="G330" s="258">
        <v>1369</v>
      </c>
      <c r="H330" s="258">
        <v>1133</v>
      </c>
      <c r="I330" s="258">
        <v>350</v>
      </c>
      <c r="J330" s="146" t="s">
        <v>21</v>
      </c>
      <c r="K330" s="223" t="s">
        <v>21</v>
      </c>
    </row>
    <row r="331" spans="1:11" ht="9.3000000000000007" customHeight="1">
      <c r="A331" s="296"/>
      <c r="B331" s="296" t="s">
        <v>4</v>
      </c>
      <c r="C331" s="304">
        <v>299</v>
      </c>
      <c r="D331" s="258">
        <v>480</v>
      </c>
      <c r="E331" s="258">
        <v>534</v>
      </c>
      <c r="F331" s="258">
        <v>871</v>
      </c>
      <c r="G331" s="258">
        <v>763</v>
      </c>
      <c r="H331" s="258">
        <v>271</v>
      </c>
      <c r="I331" s="258">
        <v>350</v>
      </c>
      <c r="J331" s="258">
        <v>298</v>
      </c>
      <c r="K331" s="223" t="s">
        <v>21</v>
      </c>
    </row>
    <row r="332" spans="1:11" ht="10.8" customHeight="1">
      <c r="A332" s="297"/>
      <c r="B332" s="297" t="s">
        <v>6</v>
      </c>
      <c r="C332" s="307">
        <v>440</v>
      </c>
      <c r="D332" s="259">
        <v>844</v>
      </c>
      <c r="E332" s="259">
        <v>1229</v>
      </c>
      <c r="F332" s="259">
        <v>1730</v>
      </c>
      <c r="G332" s="259">
        <v>2159</v>
      </c>
      <c r="H332" s="259">
        <v>2051</v>
      </c>
      <c r="I332" s="259">
        <v>1501</v>
      </c>
      <c r="J332" s="149" t="s">
        <v>21</v>
      </c>
      <c r="K332" s="225" t="s">
        <v>21</v>
      </c>
    </row>
    <row r="333" spans="1:11" ht="10.5" customHeight="1">
      <c r="A333" s="299">
        <v>3.55</v>
      </c>
      <c r="B333" s="298" t="s">
        <v>2</v>
      </c>
      <c r="C333" s="318">
        <v>71.3</v>
      </c>
      <c r="D333" s="237">
        <v>130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220</v>
      </c>
      <c r="D334" s="258">
        <v>523</v>
      </c>
      <c r="E334" s="258">
        <v>825</v>
      </c>
      <c r="F334" s="258">
        <v>993</v>
      </c>
      <c r="G334" s="258">
        <v>1334</v>
      </c>
      <c r="H334" s="258">
        <v>1226</v>
      </c>
      <c r="I334" s="258">
        <v>814</v>
      </c>
      <c r="J334" s="258">
        <v>762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269</v>
      </c>
      <c r="D335" s="258">
        <v>477</v>
      </c>
      <c r="E335" s="258">
        <v>518</v>
      </c>
      <c r="F335" s="258">
        <v>854</v>
      </c>
      <c r="G335" s="258">
        <v>809</v>
      </c>
      <c r="H335" s="258">
        <v>484</v>
      </c>
      <c r="I335" s="258">
        <v>813</v>
      </c>
      <c r="J335" s="258">
        <v>761</v>
      </c>
      <c r="K335" s="223" t="s">
        <v>21</v>
      </c>
    </row>
    <row r="336" spans="1:11" ht="10.8" customHeight="1">
      <c r="A336" s="297"/>
      <c r="B336" s="297" t="s">
        <v>6</v>
      </c>
      <c r="C336" s="307">
        <v>399</v>
      </c>
      <c r="D336" s="259">
        <v>826</v>
      </c>
      <c r="E336" s="259">
        <v>1147</v>
      </c>
      <c r="F336" s="259">
        <v>1633</v>
      </c>
      <c r="G336" s="259">
        <v>2049</v>
      </c>
      <c r="H336" s="259">
        <v>2031</v>
      </c>
      <c r="I336" s="259">
        <v>1783</v>
      </c>
      <c r="J336" s="149" t="s">
        <v>21</v>
      </c>
      <c r="K336" s="225" t="s">
        <v>21</v>
      </c>
    </row>
    <row r="337" spans="1:11" ht="10.5" customHeight="1">
      <c r="A337" s="299">
        <v>4</v>
      </c>
      <c r="B337" s="298" t="s">
        <v>2</v>
      </c>
      <c r="C337" s="318">
        <v>66.7</v>
      </c>
      <c r="D337" s="237">
        <v>127</v>
      </c>
      <c r="E337" s="237">
        <v>146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199</v>
      </c>
      <c r="D338" s="258">
        <v>479</v>
      </c>
      <c r="E338" s="258">
        <v>759</v>
      </c>
      <c r="F338" s="258">
        <v>885</v>
      </c>
      <c r="G338" s="258">
        <v>1274</v>
      </c>
      <c r="H338" s="258">
        <v>1237</v>
      </c>
      <c r="I338" s="258">
        <v>1099</v>
      </c>
      <c r="J338" s="258">
        <v>282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237</v>
      </c>
      <c r="D339" s="258">
        <v>442</v>
      </c>
      <c r="E339" s="258">
        <v>492</v>
      </c>
      <c r="F339" s="258">
        <v>774</v>
      </c>
      <c r="G339" s="258">
        <v>816</v>
      </c>
      <c r="H339" s="258">
        <v>628</v>
      </c>
      <c r="I339" s="258">
        <v>250</v>
      </c>
      <c r="J339" s="258">
        <v>282</v>
      </c>
      <c r="K339" s="223" t="s">
        <v>21</v>
      </c>
    </row>
    <row r="340" spans="1:11" ht="10.8" customHeight="1">
      <c r="A340" s="297"/>
      <c r="B340" s="297" t="s">
        <v>6</v>
      </c>
      <c r="C340" s="307">
        <v>354</v>
      </c>
      <c r="D340" s="259">
        <v>756</v>
      </c>
      <c r="E340" s="259">
        <v>1051</v>
      </c>
      <c r="F340" s="259">
        <v>1437</v>
      </c>
      <c r="G340" s="259">
        <v>1923</v>
      </c>
      <c r="H340" s="259">
        <v>1956</v>
      </c>
      <c r="I340" s="259">
        <v>1885</v>
      </c>
      <c r="J340" s="149" t="s">
        <v>21</v>
      </c>
      <c r="K340" s="225" t="s">
        <v>21</v>
      </c>
    </row>
    <row r="341" spans="1:11" ht="10.5" customHeight="1">
      <c r="A341" s="299">
        <v>4.5</v>
      </c>
      <c r="B341" s="298" t="s">
        <v>2</v>
      </c>
      <c r="C341" s="318">
        <v>88.7</v>
      </c>
      <c r="D341" s="237">
        <v>154</v>
      </c>
      <c r="E341" s="237">
        <v>204</v>
      </c>
      <c r="F341" s="237">
        <v>222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225</v>
      </c>
      <c r="D342" s="258">
        <v>496</v>
      </c>
      <c r="E342" s="258">
        <v>792</v>
      </c>
      <c r="F342" s="258">
        <v>1039</v>
      </c>
      <c r="G342" s="258">
        <v>1257</v>
      </c>
      <c r="H342" s="258">
        <v>1344</v>
      </c>
      <c r="I342" s="258">
        <v>1546</v>
      </c>
      <c r="J342" s="258">
        <v>1091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266</v>
      </c>
      <c r="D343" s="258">
        <v>464</v>
      </c>
      <c r="E343" s="258">
        <v>538</v>
      </c>
      <c r="F343" s="258">
        <v>924</v>
      </c>
      <c r="G343" s="258">
        <v>866</v>
      </c>
      <c r="H343" s="258">
        <v>822</v>
      </c>
      <c r="I343" s="258">
        <v>353</v>
      </c>
      <c r="J343" s="258">
        <v>1090</v>
      </c>
      <c r="K343" s="223" t="s">
        <v>21</v>
      </c>
    </row>
    <row r="344" spans="1:11" ht="10.95" customHeight="1">
      <c r="A344" s="297"/>
      <c r="B344" s="297" t="s">
        <v>6</v>
      </c>
      <c r="C344" s="307">
        <v>386</v>
      </c>
      <c r="D344" s="259">
        <v>770</v>
      </c>
      <c r="E344" s="259">
        <v>1073</v>
      </c>
      <c r="F344" s="259">
        <v>1629</v>
      </c>
      <c r="G344" s="259">
        <v>1850</v>
      </c>
      <c r="H344" s="259">
        <v>2036</v>
      </c>
      <c r="I344" s="259">
        <v>2291</v>
      </c>
      <c r="J344" s="149" t="s">
        <v>21</v>
      </c>
      <c r="K344" s="225" t="s">
        <v>21</v>
      </c>
    </row>
    <row r="345" spans="1:11" ht="10.199999999999999" customHeight="1">
      <c r="A345" s="299">
        <v>5</v>
      </c>
      <c r="B345" s="298" t="s">
        <v>2</v>
      </c>
      <c r="C345" s="318">
        <v>81.900000000000006</v>
      </c>
      <c r="D345" s="237">
        <v>150</v>
      </c>
      <c r="E345" s="237">
        <v>210</v>
      </c>
      <c r="F345" s="237">
        <v>231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204</v>
      </c>
      <c r="D346" s="258">
        <v>472</v>
      </c>
      <c r="E346" s="258">
        <v>768</v>
      </c>
      <c r="F346" s="258">
        <v>950</v>
      </c>
      <c r="G346" s="258">
        <v>1282</v>
      </c>
      <c r="H346" s="258">
        <v>1325</v>
      </c>
      <c r="I346" s="258">
        <v>1715</v>
      </c>
      <c r="J346" s="258">
        <v>1546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235</v>
      </c>
      <c r="D347" s="258">
        <v>445</v>
      </c>
      <c r="E347" s="258">
        <v>532</v>
      </c>
      <c r="F347" s="258">
        <v>857</v>
      </c>
      <c r="G347" s="258">
        <v>920</v>
      </c>
      <c r="H347" s="258">
        <v>843</v>
      </c>
      <c r="I347" s="258">
        <v>692</v>
      </c>
      <c r="J347" s="258">
        <v>405</v>
      </c>
      <c r="K347" s="223" t="s">
        <v>21</v>
      </c>
    </row>
    <row r="348" spans="1:11" ht="10.95" customHeight="1">
      <c r="A348" s="297"/>
      <c r="B348" s="297" t="s">
        <v>6</v>
      </c>
      <c r="C348" s="307">
        <v>344</v>
      </c>
      <c r="D348" s="259">
        <v>734</v>
      </c>
      <c r="E348" s="259">
        <v>1040</v>
      </c>
      <c r="F348" s="259">
        <v>1482</v>
      </c>
      <c r="G348" s="259">
        <v>1858</v>
      </c>
      <c r="H348" s="259">
        <v>1981</v>
      </c>
      <c r="I348" s="259">
        <v>2409</v>
      </c>
      <c r="J348" s="259">
        <v>2346</v>
      </c>
      <c r="K348" s="225" t="s">
        <v>21</v>
      </c>
    </row>
    <row r="349" spans="1:11" ht="10.199999999999999" customHeight="1">
      <c r="A349" s="299">
        <v>5.6</v>
      </c>
      <c r="B349" s="298" t="s">
        <v>2</v>
      </c>
      <c r="C349" s="318">
        <v>74.7</v>
      </c>
      <c r="D349" s="237">
        <v>139</v>
      </c>
      <c r="E349" s="237">
        <v>199</v>
      </c>
      <c r="F349" s="237">
        <v>248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183</v>
      </c>
      <c r="D350" s="258">
        <v>425</v>
      </c>
      <c r="E350" s="258">
        <v>689</v>
      </c>
      <c r="F350" s="258">
        <v>925</v>
      </c>
      <c r="G350" s="258">
        <v>1229</v>
      </c>
      <c r="H350" s="258">
        <v>1271</v>
      </c>
      <c r="I350" s="258">
        <v>1632</v>
      </c>
      <c r="J350" s="258">
        <v>1622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206</v>
      </c>
      <c r="D351" s="258">
        <v>405</v>
      </c>
      <c r="E351" s="258">
        <v>485</v>
      </c>
      <c r="F351" s="258">
        <v>847</v>
      </c>
      <c r="G351" s="258">
        <v>894</v>
      </c>
      <c r="H351" s="258">
        <v>857</v>
      </c>
      <c r="I351" s="258">
        <v>781</v>
      </c>
      <c r="J351" s="258">
        <v>277</v>
      </c>
      <c r="K351" s="223" t="s">
        <v>21</v>
      </c>
    </row>
    <row r="352" spans="1:11" ht="10.8" customHeight="1">
      <c r="A352" s="387"/>
      <c r="B352" s="387" t="s">
        <v>6</v>
      </c>
      <c r="C352" s="370">
        <v>302</v>
      </c>
      <c r="D352" s="371">
        <v>662</v>
      </c>
      <c r="E352" s="371">
        <v>935</v>
      </c>
      <c r="F352" s="371">
        <v>1436</v>
      </c>
      <c r="G352" s="371">
        <v>1773</v>
      </c>
      <c r="H352" s="371">
        <v>1852</v>
      </c>
      <c r="I352" s="371">
        <v>2243</v>
      </c>
      <c r="J352" s="371">
        <v>2320</v>
      </c>
      <c r="K352" s="380" t="s">
        <v>21</v>
      </c>
    </row>
    <row r="374" spans="1:12" ht="40.799999999999997" customHeight="1">
      <c r="A374" s="449" t="s">
        <v>91</v>
      </c>
      <c r="B374" s="449"/>
      <c r="C374" s="449"/>
      <c r="D374" s="449"/>
      <c r="E374" s="449"/>
      <c r="F374" s="449"/>
      <c r="G374" s="449"/>
      <c r="H374" s="449"/>
      <c r="I374" s="449"/>
      <c r="J374" s="449"/>
      <c r="K374" s="449"/>
      <c r="L374" s="449"/>
    </row>
    <row r="375" spans="1:12" ht="12.3" customHeight="1">
      <c r="A375" s="450" t="s">
        <v>69</v>
      </c>
      <c r="B375" s="451"/>
      <c r="C375" s="454" t="s">
        <v>14</v>
      </c>
      <c r="D375" s="455"/>
      <c r="E375" s="455"/>
      <c r="F375" s="455"/>
      <c r="G375" s="455"/>
      <c r="H375" s="455"/>
      <c r="I375" s="455"/>
      <c r="J375" s="455"/>
      <c r="K375" s="455"/>
    </row>
    <row r="376" spans="1:12" ht="9" customHeight="1">
      <c r="A376" s="452"/>
      <c r="B376" s="453"/>
      <c r="C376" s="33">
        <v>3</v>
      </c>
      <c r="D376" s="33">
        <v>5</v>
      </c>
      <c r="E376" s="33">
        <v>7</v>
      </c>
      <c r="F376" s="33">
        <v>9</v>
      </c>
      <c r="G376" s="33">
        <v>11</v>
      </c>
      <c r="H376" s="33">
        <v>13</v>
      </c>
      <c r="I376" s="33">
        <v>15</v>
      </c>
      <c r="J376" s="33">
        <v>17</v>
      </c>
      <c r="K376" s="34">
        <v>19</v>
      </c>
    </row>
    <row r="377" spans="1:12" ht="10.5" customHeight="1">
      <c r="A377" s="299">
        <v>1.25</v>
      </c>
      <c r="B377" s="298" t="s">
        <v>2</v>
      </c>
      <c r="C377" s="153" t="s">
        <v>21</v>
      </c>
      <c r="D377" s="85" t="s">
        <v>21</v>
      </c>
      <c r="E377" s="85" t="s">
        <v>21</v>
      </c>
      <c r="F377" s="85" t="s">
        <v>21</v>
      </c>
      <c r="G377" s="85" t="s">
        <v>1</v>
      </c>
      <c r="H377" s="85" t="s">
        <v>1</v>
      </c>
      <c r="I377" s="85" t="s">
        <v>1</v>
      </c>
      <c r="J377" s="85" t="s">
        <v>1</v>
      </c>
      <c r="K377" s="221" t="s">
        <v>1</v>
      </c>
    </row>
    <row r="378" spans="1:12" ht="9" customHeight="1">
      <c r="A378" s="296"/>
      <c r="B378" s="296" t="s">
        <v>3</v>
      </c>
      <c r="C378" s="304">
        <v>230</v>
      </c>
      <c r="D378" s="258">
        <v>418</v>
      </c>
      <c r="E378" s="258">
        <v>317</v>
      </c>
      <c r="F378" s="258">
        <v>874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23" t="s">
        <v>1</v>
      </c>
    </row>
    <row r="379" spans="1:12" ht="9.3000000000000007" customHeight="1">
      <c r="A379" s="296"/>
      <c r="B379" s="296" t="s">
        <v>4</v>
      </c>
      <c r="C379" s="304">
        <v>396</v>
      </c>
      <c r="D379" s="258">
        <v>192</v>
      </c>
      <c r="E379" s="258">
        <v>184</v>
      </c>
      <c r="F379" s="258">
        <v>352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23" t="s">
        <v>1</v>
      </c>
    </row>
    <row r="380" spans="1:12" ht="10.8" customHeight="1">
      <c r="A380" s="297"/>
      <c r="B380" s="297" t="s">
        <v>6</v>
      </c>
      <c r="C380" s="307">
        <v>637</v>
      </c>
      <c r="D380" s="259">
        <v>969</v>
      </c>
      <c r="E380" s="259">
        <v>907</v>
      </c>
      <c r="F380" s="259">
        <v>840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25" t="s">
        <v>1</v>
      </c>
    </row>
    <row r="381" spans="1:12" ht="10.5" customHeight="1">
      <c r="A381" s="430">
        <v>1.4</v>
      </c>
      <c r="B381" s="298" t="s">
        <v>2</v>
      </c>
      <c r="C381" s="153" t="s">
        <v>21</v>
      </c>
      <c r="D381" s="85" t="s">
        <v>21</v>
      </c>
      <c r="E381" s="85" t="s">
        <v>21</v>
      </c>
      <c r="F381" s="85" t="s">
        <v>21</v>
      </c>
      <c r="G381" s="85" t="s">
        <v>1</v>
      </c>
      <c r="H381" s="85" t="s">
        <v>1</v>
      </c>
      <c r="I381" s="85" t="s">
        <v>1</v>
      </c>
      <c r="J381" s="85" t="s">
        <v>1</v>
      </c>
      <c r="K381" s="221" t="s">
        <v>1</v>
      </c>
    </row>
    <row r="382" spans="1:12" ht="9" customHeight="1">
      <c r="A382" s="296"/>
      <c r="B382" s="296" t="s">
        <v>3</v>
      </c>
      <c r="C382" s="304">
        <v>240</v>
      </c>
      <c r="D382" s="258">
        <v>483</v>
      </c>
      <c r="E382" s="258">
        <v>463</v>
      </c>
      <c r="F382" s="258">
        <v>962</v>
      </c>
      <c r="G382" s="146" t="s">
        <v>1</v>
      </c>
      <c r="H382" s="146" t="s">
        <v>1</v>
      </c>
      <c r="I382" s="146" t="s">
        <v>1</v>
      </c>
      <c r="J382" s="146" t="s">
        <v>1</v>
      </c>
      <c r="K382" s="223" t="s">
        <v>1</v>
      </c>
    </row>
    <row r="383" spans="1:12" ht="9.3000000000000007" customHeight="1">
      <c r="A383" s="296"/>
      <c r="B383" s="296" t="s">
        <v>4</v>
      </c>
      <c r="C383" s="304">
        <v>389</v>
      </c>
      <c r="D383" s="258">
        <v>256</v>
      </c>
      <c r="E383" s="258">
        <v>239</v>
      </c>
      <c r="F383" s="258">
        <v>452</v>
      </c>
      <c r="G383" s="146" t="s">
        <v>1</v>
      </c>
      <c r="H383" s="146" t="s">
        <v>1</v>
      </c>
      <c r="I383" s="146" t="s">
        <v>1</v>
      </c>
      <c r="J383" s="146" t="s">
        <v>1</v>
      </c>
      <c r="K383" s="223" t="s">
        <v>1</v>
      </c>
    </row>
    <row r="384" spans="1:12" ht="10.8" customHeight="1">
      <c r="A384" s="297"/>
      <c r="B384" s="297" t="s">
        <v>6</v>
      </c>
      <c r="C384" s="307">
        <v>624</v>
      </c>
      <c r="D384" s="259">
        <v>998</v>
      </c>
      <c r="E384" s="259">
        <v>1033</v>
      </c>
      <c r="F384" s="259">
        <v>1117</v>
      </c>
      <c r="G384" s="149" t="s">
        <v>1</v>
      </c>
      <c r="H384" s="149" t="s">
        <v>1</v>
      </c>
      <c r="I384" s="149" t="s">
        <v>1</v>
      </c>
      <c r="J384" s="149" t="s">
        <v>1</v>
      </c>
      <c r="K384" s="225" t="s">
        <v>1</v>
      </c>
    </row>
    <row r="385" spans="1:11" ht="10.5" customHeight="1">
      <c r="A385" s="299">
        <v>1.6</v>
      </c>
      <c r="B385" s="298" t="s">
        <v>2</v>
      </c>
      <c r="C385" s="153" t="s">
        <v>21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1</v>
      </c>
      <c r="J385" s="85" t="s">
        <v>1</v>
      </c>
      <c r="K385" s="221" t="s">
        <v>1</v>
      </c>
    </row>
    <row r="386" spans="1:11" ht="9" customHeight="1">
      <c r="A386" s="296"/>
      <c r="B386" s="296" t="s">
        <v>3</v>
      </c>
      <c r="C386" s="304">
        <v>253</v>
      </c>
      <c r="D386" s="258">
        <v>555</v>
      </c>
      <c r="E386" s="258">
        <v>667</v>
      </c>
      <c r="F386" s="258">
        <v>277</v>
      </c>
      <c r="G386" s="258">
        <v>759</v>
      </c>
      <c r="H386" s="146" t="s">
        <v>21</v>
      </c>
      <c r="I386" s="146" t="s">
        <v>1</v>
      </c>
      <c r="J386" s="146" t="s">
        <v>1</v>
      </c>
      <c r="K386" s="223" t="s">
        <v>1</v>
      </c>
    </row>
    <row r="387" spans="1:11" ht="9.3000000000000007" customHeight="1">
      <c r="A387" s="296"/>
      <c r="B387" s="296" t="s">
        <v>4</v>
      </c>
      <c r="C387" s="304">
        <v>379</v>
      </c>
      <c r="D387" s="258">
        <v>347</v>
      </c>
      <c r="E387" s="258">
        <v>320</v>
      </c>
      <c r="F387" s="258">
        <v>276</v>
      </c>
      <c r="G387" s="258">
        <v>759</v>
      </c>
      <c r="H387" s="146" t="s">
        <v>1</v>
      </c>
      <c r="I387" s="146" t="s">
        <v>1</v>
      </c>
      <c r="J387" s="146" t="s">
        <v>1</v>
      </c>
      <c r="K387" s="223" t="s">
        <v>1</v>
      </c>
    </row>
    <row r="388" spans="1:11" ht="10.8" customHeight="1">
      <c r="A388" s="297"/>
      <c r="B388" s="297" t="s">
        <v>6</v>
      </c>
      <c r="C388" s="307">
        <v>602</v>
      </c>
      <c r="D388" s="259">
        <v>1058</v>
      </c>
      <c r="E388" s="259">
        <v>1186</v>
      </c>
      <c r="F388" s="259">
        <v>1428</v>
      </c>
      <c r="G388" s="149" t="s">
        <v>21</v>
      </c>
      <c r="H388" s="149" t="s">
        <v>21</v>
      </c>
      <c r="I388" s="149" t="s">
        <v>1</v>
      </c>
      <c r="J388" s="149" t="s">
        <v>1</v>
      </c>
      <c r="K388" s="225" t="s">
        <v>1</v>
      </c>
    </row>
    <row r="389" spans="1:11" ht="10.5" customHeight="1">
      <c r="A389" s="299">
        <v>1.8</v>
      </c>
      <c r="B389" s="298" t="s">
        <v>2</v>
      </c>
      <c r="C389" s="153" t="s">
        <v>21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1</v>
      </c>
      <c r="J389" s="85" t="s">
        <v>1</v>
      </c>
      <c r="K389" s="221" t="s">
        <v>1</v>
      </c>
    </row>
    <row r="390" spans="1:11" ht="9" customHeight="1">
      <c r="A390" s="296"/>
      <c r="B390" s="296" t="s">
        <v>3</v>
      </c>
      <c r="C390" s="304">
        <v>291</v>
      </c>
      <c r="D390" s="258">
        <v>558</v>
      </c>
      <c r="E390" s="258">
        <v>718</v>
      </c>
      <c r="F390" s="258">
        <v>487</v>
      </c>
      <c r="G390" s="258">
        <v>945</v>
      </c>
      <c r="H390" s="146" t="s">
        <v>21</v>
      </c>
      <c r="I390" s="146" t="s">
        <v>1</v>
      </c>
      <c r="J390" s="146" t="s">
        <v>1</v>
      </c>
      <c r="K390" s="223" t="s">
        <v>1</v>
      </c>
    </row>
    <row r="391" spans="1:11" ht="9.3000000000000007" customHeight="1">
      <c r="A391" s="296"/>
      <c r="B391" s="296" t="s">
        <v>4</v>
      </c>
      <c r="C391" s="304">
        <v>411</v>
      </c>
      <c r="D391" s="258">
        <v>380</v>
      </c>
      <c r="E391" s="258">
        <v>344</v>
      </c>
      <c r="F391" s="258">
        <v>486</v>
      </c>
      <c r="G391" s="258">
        <v>945</v>
      </c>
      <c r="H391" s="146" t="s">
        <v>1</v>
      </c>
      <c r="I391" s="146" t="s">
        <v>1</v>
      </c>
      <c r="J391" s="146" t="s">
        <v>1</v>
      </c>
      <c r="K391" s="223" t="s">
        <v>1</v>
      </c>
    </row>
    <row r="392" spans="1:11" ht="10.8" customHeight="1">
      <c r="A392" s="297"/>
      <c r="B392" s="297" t="s">
        <v>6</v>
      </c>
      <c r="C392" s="307">
        <v>651</v>
      </c>
      <c r="D392" s="259">
        <v>1007</v>
      </c>
      <c r="E392" s="259">
        <v>1172</v>
      </c>
      <c r="F392" s="259">
        <v>1557</v>
      </c>
      <c r="G392" s="149" t="s">
        <v>21</v>
      </c>
      <c r="H392" s="149" t="s">
        <v>21</v>
      </c>
      <c r="I392" s="149" t="s">
        <v>1</v>
      </c>
      <c r="J392" s="149" t="s">
        <v>1</v>
      </c>
      <c r="K392" s="225" t="s">
        <v>1</v>
      </c>
    </row>
    <row r="393" spans="1:11" ht="10.5" customHeight="1">
      <c r="A393" s="299">
        <v>2</v>
      </c>
      <c r="B393" s="298" t="s">
        <v>2</v>
      </c>
      <c r="C393" s="153" t="s">
        <v>21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221" t="s">
        <v>21</v>
      </c>
    </row>
    <row r="394" spans="1:11" ht="9" customHeight="1">
      <c r="A394" s="296"/>
      <c r="B394" s="296" t="s">
        <v>3</v>
      </c>
      <c r="C394" s="304">
        <v>288</v>
      </c>
      <c r="D394" s="258">
        <v>561</v>
      </c>
      <c r="E394" s="258">
        <v>756</v>
      </c>
      <c r="F394" s="258">
        <v>643</v>
      </c>
      <c r="G394" s="258">
        <v>1090</v>
      </c>
      <c r="H394" s="146" t="s">
        <v>21</v>
      </c>
      <c r="I394" s="146" t="s">
        <v>21</v>
      </c>
      <c r="J394" s="146" t="s">
        <v>21</v>
      </c>
      <c r="K394" s="223" t="s">
        <v>21</v>
      </c>
    </row>
    <row r="395" spans="1:11" ht="9.3000000000000007" customHeight="1">
      <c r="A395" s="296"/>
      <c r="B395" s="296" t="s">
        <v>4</v>
      </c>
      <c r="C395" s="304">
        <v>394</v>
      </c>
      <c r="D395" s="258">
        <v>396</v>
      </c>
      <c r="E395" s="258">
        <v>98</v>
      </c>
      <c r="F395" s="258">
        <v>150</v>
      </c>
      <c r="G395" s="258">
        <v>1089</v>
      </c>
      <c r="H395" s="146" t="s">
        <v>21</v>
      </c>
      <c r="I395" s="146" t="s">
        <v>21</v>
      </c>
      <c r="J395" s="146" t="s">
        <v>21</v>
      </c>
      <c r="K395" s="223" t="s">
        <v>21</v>
      </c>
    </row>
    <row r="396" spans="1:11" ht="10.8" customHeight="1">
      <c r="A396" s="297"/>
      <c r="B396" s="297" t="s">
        <v>6</v>
      </c>
      <c r="C396" s="307">
        <v>623</v>
      </c>
      <c r="D396" s="259">
        <v>988</v>
      </c>
      <c r="E396" s="259">
        <v>1182</v>
      </c>
      <c r="F396" s="259">
        <v>1610</v>
      </c>
      <c r="G396" s="149" t="s">
        <v>21</v>
      </c>
      <c r="H396" s="149" t="s">
        <v>21</v>
      </c>
      <c r="I396" s="149" t="s">
        <v>21</v>
      </c>
      <c r="J396" s="149" t="s">
        <v>21</v>
      </c>
      <c r="K396" s="225" t="s">
        <v>21</v>
      </c>
    </row>
    <row r="397" spans="1:11" ht="10.5" customHeight="1">
      <c r="A397" s="299">
        <v>2.2400000000000002</v>
      </c>
      <c r="B397" s="298" t="s">
        <v>2</v>
      </c>
      <c r="C397" s="153" t="s">
        <v>21</v>
      </c>
      <c r="D397" s="85" t="s">
        <v>21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221" t="s">
        <v>21</v>
      </c>
    </row>
    <row r="398" spans="1:11" ht="9" customHeight="1">
      <c r="A398" s="296"/>
      <c r="B398" s="296" t="s">
        <v>3</v>
      </c>
      <c r="C398" s="304">
        <v>282</v>
      </c>
      <c r="D398" s="258">
        <v>552</v>
      </c>
      <c r="E398" s="258">
        <v>774</v>
      </c>
      <c r="F398" s="258">
        <v>752</v>
      </c>
      <c r="G398" s="146" t="s">
        <v>21</v>
      </c>
      <c r="H398" s="146" t="s">
        <v>21</v>
      </c>
      <c r="I398" s="146" t="s">
        <v>21</v>
      </c>
      <c r="J398" s="146" t="s">
        <v>21</v>
      </c>
      <c r="K398" s="223" t="s">
        <v>21</v>
      </c>
    </row>
    <row r="399" spans="1:11" ht="9.3000000000000007" customHeight="1">
      <c r="A399" s="296"/>
      <c r="B399" s="296" t="s">
        <v>4</v>
      </c>
      <c r="C399" s="304">
        <v>374</v>
      </c>
      <c r="D399" s="258">
        <v>401</v>
      </c>
      <c r="E399" s="258">
        <v>209</v>
      </c>
      <c r="F399" s="258">
        <v>311</v>
      </c>
      <c r="G399" s="146" t="s">
        <v>21</v>
      </c>
      <c r="H399" s="146" t="s">
        <v>21</v>
      </c>
      <c r="I399" s="146" t="s">
        <v>21</v>
      </c>
      <c r="J399" s="146" t="s">
        <v>21</v>
      </c>
      <c r="K399" s="223" t="s">
        <v>21</v>
      </c>
    </row>
    <row r="400" spans="1:11" ht="10.8" customHeight="1">
      <c r="A400" s="297"/>
      <c r="B400" s="297" t="s">
        <v>6</v>
      </c>
      <c r="C400" s="307">
        <v>591</v>
      </c>
      <c r="D400" s="259">
        <v>953</v>
      </c>
      <c r="E400" s="259">
        <v>1154</v>
      </c>
      <c r="F400" s="259">
        <v>1620</v>
      </c>
      <c r="G400" s="149" t="s">
        <v>21</v>
      </c>
      <c r="H400" s="149" t="s">
        <v>21</v>
      </c>
      <c r="I400" s="149" t="s">
        <v>21</v>
      </c>
      <c r="J400" s="149" t="s">
        <v>21</v>
      </c>
      <c r="K400" s="225" t="s">
        <v>21</v>
      </c>
    </row>
    <row r="401" spans="1:11" ht="10.5" customHeight="1">
      <c r="A401" s="299">
        <v>2.5</v>
      </c>
      <c r="B401" s="298" t="s">
        <v>2</v>
      </c>
      <c r="C401" s="153" t="s">
        <v>21</v>
      </c>
      <c r="D401" s="85" t="s">
        <v>21</v>
      </c>
      <c r="E401" s="85" t="s">
        <v>21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221" t="s">
        <v>21</v>
      </c>
    </row>
    <row r="402" spans="1:11" ht="9" customHeight="1">
      <c r="A402" s="296"/>
      <c r="B402" s="296" t="s">
        <v>3</v>
      </c>
      <c r="C402" s="304">
        <v>267</v>
      </c>
      <c r="D402" s="258">
        <v>538</v>
      </c>
      <c r="E402" s="258">
        <v>761</v>
      </c>
      <c r="F402" s="258">
        <v>824</v>
      </c>
      <c r="G402" s="146" t="s">
        <v>21</v>
      </c>
      <c r="H402" s="146" t="s">
        <v>21</v>
      </c>
      <c r="I402" s="146" t="s">
        <v>21</v>
      </c>
      <c r="J402" s="146" t="s">
        <v>21</v>
      </c>
      <c r="K402" s="223" t="s">
        <v>21</v>
      </c>
    </row>
    <row r="403" spans="1:11" ht="9.3000000000000007" customHeight="1">
      <c r="A403" s="296"/>
      <c r="B403" s="296" t="s">
        <v>4</v>
      </c>
      <c r="C403" s="304">
        <v>341</v>
      </c>
      <c r="D403" s="258">
        <v>403</v>
      </c>
      <c r="E403" s="258">
        <v>261</v>
      </c>
      <c r="F403" s="258">
        <v>428</v>
      </c>
      <c r="G403" s="146" t="s">
        <v>21</v>
      </c>
      <c r="H403" s="146" t="s">
        <v>21</v>
      </c>
      <c r="I403" s="146" t="s">
        <v>21</v>
      </c>
      <c r="J403" s="146" t="s">
        <v>21</v>
      </c>
      <c r="K403" s="223" t="s">
        <v>21</v>
      </c>
    </row>
    <row r="404" spans="1:11" ht="10.8" customHeight="1">
      <c r="A404" s="297"/>
      <c r="B404" s="297" t="s">
        <v>6</v>
      </c>
      <c r="C404" s="307">
        <v>539</v>
      </c>
      <c r="D404" s="259">
        <v>914</v>
      </c>
      <c r="E404" s="259">
        <v>1114</v>
      </c>
      <c r="F404" s="259">
        <v>1595</v>
      </c>
      <c r="G404" s="259">
        <v>1694</v>
      </c>
      <c r="H404" s="149" t="s">
        <v>21</v>
      </c>
      <c r="I404" s="149" t="s">
        <v>21</v>
      </c>
      <c r="J404" s="149" t="s">
        <v>21</v>
      </c>
      <c r="K404" s="225" t="s">
        <v>21</v>
      </c>
    </row>
    <row r="405" spans="1:11" ht="10.5" customHeight="1">
      <c r="A405" s="299">
        <v>2.8</v>
      </c>
      <c r="B405" s="298" t="s">
        <v>2</v>
      </c>
      <c r="C405" s="153" t="s">
        <v>21</v>
      </c>
      <c r="D405" s="85" t="s">
        <v>21</v>
      </c>
      <c r="E405" s="85" t="s">
        <v>21</v>
      </c>
      <c r="F405" s="85" t="s">
        <v>21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221" t="s">
        <v>21</v>
      </c>
    </row>
    <row r="406" spans="1:11" ht="9" customHeight="1">
      <c r="A406" s="296"/>
      <c r="B406" s="296" t="s">
        <v>3</v>
      </c>
      <c r="C406" s="304">
        <v>253</v>
      </c>
      <c r="D406" s="258">
        <v>520</v>
      </c>
      <c r="E406" s="258">
        <v>790</v>
      </c>
      <c r="F406" s="258">
        <v>905</v>
      </c>
      <c r="G406" s="258">
        <v>799</v>
      </c>
      <c r="H406" s="146" t="s">
        <v>21</v>
      </c>
      <c r="I406" s="146" t="s">
        <v>21</v>
      </c>
      <c r="J406" s="146" t="s">
        <v>21</v>
      </c>
      <c r="K406" s="223" t="s">
        <v>21</v>
      </c>
    </row>
    <row r="407" spans="1:11" ht="9.3000000000000007" customHeight="1">
      <c r="A407" s="296"/>
      <c r="B407" s="296" t="s">
        <v>4</v>
      </c>
      <c r="C407" s="304">
        <v>314</v>
      </c>
      <c r="D407" s="258">
        <v>400</v>
      </c>
      <c r="E407" s="258">
        <v>308</v>
      </c>
      <c r="F407" s="258">
        <v>542</v>
      </c>
      <c r="G407" s="258">
        <v>371</v>
      </c>
      <c r="H407" s="258">
        <v>761</v>
      </c>
      <c r="I407" s="146" t="s">
        <v>21</v>
      </c>
      <c r="J407" s="146" t="s">
        <v>21</v>
      </c>
      <c r="K407" s="223" t="s">
        <v>21</v>
      </c>
    </row>
    <row r="408" spans="1:11" ht="10.8" customHeight="1">
      <c r="A408" s="297"/>
      <c r="B408" s="297" t="s">
        <v>6</v>
      </c>
      <c r="C408" s="307">
        <v>498</v>
      </c>
      <c r="D408" s="259">
        <v>868</v>
      </c>
      <c r="E408" s="259">
        <v>1143</v>
      </c>
      <c r="F408" s="259">
        <v>1669</v>
      </c>
      <c r="G408" s="259">
        <v>1785</v>
      </c>
      <c r="H408" s="149" t="s">
        <v>21</v>
      </c>
      <c r="I408" s="149" t="s">
        <v>21</v>
      </c>
      <c r="J408" s="149" t="s">
        <v>21</v>
      </c>
      <c r="K408" s="225" t="s">
        <v>21</v>
      </c>
    </row>
    <row r="409" spans="1:11" ht="10.5" customHeight="1">
      <c r="A409" s="299">
        <v>3.15</v>
      </c>
      <c r="B409" s="298" t="s">
        <v>2</v>
      </c>
      <c r="C409" s="318">
        <v>60.3</v>
      </c>
      <c r="D409" s="262">
        <v>66.3</v>
      </c>
      <c r="E409" s="85" t="s">
        <v>21</v>
      </c>
      <c r="F409" s="85" t="s">
        <v>21</v>
      </c>
      <c r="G409" s="85" t="s">
        <v>21</v>
      </c>
      <c r="H409" s="85" t="s">
        <v>21</v>
      </c>
      <c r="I409" s="85" t="s">
        <v>21</v>
      </c>
      <c r="J409" s="85" t="s">
        <v>21</v>
      </c>
      <c r="K409" s="221" t="s">
        <v>21</v>
      </c>
    </row>
    <row r="410" spans="1:11" ht="9" customHeight="1">
      <c r="A410" s="296"/>
      <c r="B410" s="296" t="s">
        <v>3</v>
      </c>
      <c r="C410" s="304">
        <v>260</v>
      </c>
      <c r="D410" s="258">
        <v>570</v>
      </c>
      <c r="E410" s="258">
        <v>903</v>
      </c>
      <c r="F410" s="258">
        <v>1040</v>
      </c>
      <c r="G410" s="258">
        <v>1252</v>
      </c>
      <c r="H410" s="146" t="s">
        <v>21</v>
      </c>
      <c r="I410" s="146" t="s">
        <v>21</v>
      </c>
      <c r="J410" s="146" t="s">
        <v>21</v>
      </c>
      <c r="K410" s="223" t="s">
        <v>21</v>
      </c>
    </row>
    <row r="411" spans="1:11" ht="9.3000000000000007" customHeight="1">
      <c r="A411" s="296"/>
      <c r="B411" s="296" t="s">
        <v>4</v>
      </c>
      <c r="C411" s="304">
        <v>323</v>
      </c>
      <c r="D411" s="258">
        <v>461</v>
      </c>
      <c r="E411" s="258">
        <v>444</v>
      </c>
      <c r="F411" s="258">
        <v>746</v>
      </c>
      <c r="G411" s="258">
        <v>298</v>
      </c>
      <c r="H411" s="146" t="s">
        <v>21</v>
      </c>
      <c r="I411" s="146" t="s">
        <v>21</v>
      </c>
      <c r="J411" s="146" t="s">
        <v>21</v>
      </c>
      <c r="K411" s="223" t="s">
        <v>21</v>
      </c>
    </row>
    <row r="412" spans="1:11" ht="10.8" customHeight="1">
      <c r="A412" s="297"/>
      <c r="B412" s="297" t="s">
        <v>6</v>
      </c>
      <c r="C412" s="307">
        <v>495</v>
      </c>
      <c r="D412" s="259">
        <v>898</v>
      </c>
      <c r="E412" s="259">
        <v>1274</v>
      </c>
      <c r="F412" s="259">
        <v>1778</v>
      </c>
      <c r="G412" s="259">
        <v>2110</v>
      </c>
      <c r="H412" s="149" t="s">
        <v>21</v>
      </c>
      <c r="I412" s="149" t="s">
        <v>21</v>
      </c>
      <c r="J412" s="149" t="s">
        <v>21</v>
      </c>
      <c r="K412" s="225" t="s">
        <v>21</v>
      </c>
    </row>
    <row r="413" spans="1:11" ht="10.5" customHeight="1">
      <c r="A413" s="299">
        <v>3.55</v>
      </c>
      <c r="B413" s="298" t="s">
        <v>2</v>
      </c>
      <c r="C413" s="318">
        <v>60</v>
      </c>
      <c r="D413" s="262">
        <v>89.3</v>
      </c>
      <c r="E413" s="85" t="s">
        <v>21</v>
      </c>
      <c r="F413" s="85" t="s">
        <v>21</v>
      </c>
      <c r="G413" s="85" t="s">
        <v>21</v>
      </c>
      <c r="H413" s="85" t="s">
        <v>21</v>
      </c>
      <c r="I413" s="85" t="s">
        <v>21</v>
      </c>
      <c r="J413" s="85" t="s">
        <v>21</v>
      </c>
      <c r="K413" s="221" t="s">
        <v>21</v>
      </c>
    </row>
    <row r="414" spans="1:11" ht="9" customHeight="1">
      <c r="A414" s="296"/>
      <c r="B414" s="296" t="s">
        <v>3</v>
      </c>
      <c r="C414" s="304">
        <v>241</v>
      </c>
      <c r="D414" s="258">
        <v>565</v>
      </c>
      <c r="E414" s="258">
        <v>861</v>
      </c>
      <c r="F414" s="258">
        <v>1002</v>
      </c>
      <c r="G414" s="258">
        <v>1273</v>
      </c>
      <c r="H414" s="258">
        <v>855</v>
      </c>
      <c r="I414" s="146" t="s">
        <v>21</v>
      </c>
      <c r="J414" s="146" t="s">
        <v>21</v>
      </c>
      <c r="K414" s="223" t="s">
        <v>21</v>
      </c>
    </row>
    <row r="415" spans="1:11" ht="9.3000000000000007" customHeight="1">
      <c r="A415" s="296"/>
      <c r="B415" s="296" t="s">
        <v>4</v>
      </c>
      <c r="C415" s="304">
        <v>292</v>
      </c>
      <c r="D415" s="258">
        <v>463</v>
      </c>
      <c r="E415" s="258">
        <v>453</v>
      </c>
      <c r="F415" s="258">
        <v>743</v>
      </c>
      <c r="G415" s="258">
        <v>481</v>
      </c>
      <c r="H415" s="258">
        <v>369</v>
      </c>
      <c r="I415" s="258">
        <v>804</v>
      </c>
      <c r="J415" s="146" t="s">
        <v>21</v>
      </c>
      <c r="K415" s="223" t="s">
        <v>21</v>
      </c>
    </row>
    <row r="416" spans="1:11" ht="10.8" customHeight="1">
      <c r="A416" s="297"/>
      <c r="B416" s="297" t="s">
        <v>6</v>
      </c>
      <c r="C416" s="307">
        <v>449</v>
      </c>
      <c r="D416" s="259">
        <v>883</v>
      </c>
      <c r="E416" s="259">
        <v>1201</v>
      </c>
      <c r="F416" s="259">
        <v>1680</v>
      </c>
      <c r="G416" s="259">
        <v>2046</v>
      </c>
      <c r="H416" s="259">
        <v>1824</v>
      </c>
      <c r="I416" s="149" t="s">
        <v>21</v>
      </c>
      <c r="J416" s="149" t="s">
        <v>21</v>
      </c>
      <c r="K416" s="225" t="s">
        <v>21</v>
      </c>
    </row>
    <row r="417" spans="1:11" ht="10.5" customHeight="1">
      <c r="A417" s="299">
        <v>4</v>
      </c>
      <c r="B417" s="298" t="s">
        <v>2</v>
      </c>
      <c r="C417" s="318">
        <v>57.7</v>
      </c>
      <c r="D417" s="262">
        <v>96.2</v>
      </c>
      <c r="E417" s="85" t="s">
        <v>21</v>
      </c>
      <c r="F417" s="85" t="s">
        <v>21</v>
      </c>
      <c r="G417" s="85" t="s">
        <v>21</v>
      </c>
      <c r="H417" s="85" t="s">
        <v>21</v>
      </c>
      <c r="I417" s="85" t="s">
        <v>21</v>
      </c>
      <c r="J417" s="85" t="s">
        <v>21</v>
      </c>
      <c r="K417" s="221" t="s">
        <v>21</v>
      </c>
    </row>
    <row r="418" spans="1:11" ht="9" customHeight="1">
      <c r="A418" s="296"/>
      <c r="B418" s="296" t="s">
        <v>3</v>
      </c>
      <c r="C418" s="304">
        <v>219</v>
      </c>
      <c r="D418" s="258">
        <v>521</v>
      </c>
      <c r="E418" s="258">
        <v>804</v>
      </c>
      <c r="F418" s="258">
        <v>901</v>
      </c>
      <c r="G418" s="258">
        <v>1254</v>
      </c>
      <c r="H418" s="258">
        <v>1022</v>
      </c>
      <c r="I418" s="146" t="s">
        <v>21</v>
      </c>
      <c r="J418" s="146" t="s">
        <v>21</v>
      </c>
      <c r="K418" s="223" t="s">
        <v>21</v>
      </c>
    </row>
    <row r="419" spans="1:11" ht="9.3000000000000007" customHeight="1">
      <c r="A419" s="296"/>
      <c r="B419" s="296" t="s">
        <v>4</v>
      </c>
      <c r="C419" s="304">
        <v>258</v>
      </c>
      <c r="D419" s="258">
        <v>434</v>
      </c>
      <c r="E419" s="258">
        <v>446</v>
      </c>
      <c r="F419" s="258">
        <v>690</v>
      </c>
      <c r="G419" s="258">
        <v>593</v>
      </c>
      <c r="H419" s="146" t="s">
        <v>21</v>
      </c>
      <c r="I419" s="146" t="s">
        <v>21</v>
      </c>
      <c r="J419" s="146" t="s">
        <v>21</v>
      </c>
      <c r="K419" s="223" t="s">
        <v>21</v>
      </c>
    </row>
    <row r="420" spans="1:11" ht="10.8" customHeight="1">
      <c r="A420" s="297"/>
      <c r="B420" s="297" t="s">
        <v>6</v>
      </c>
      <c r="C420" s="307">
        <v>399</v>
      </c>
      <c r="D420" s="259">
        <v>811</v>
      </c>
      <c r="E420" s="259">
        <v>1110</v>
      </c>
      <c r="F420" s="259">
        <v>1484</v>
      </c>
      <c r="G420" s="259">
        <v>1951</v>
      </c>
      <c r="H420" s="259">
        <v>1834</v>
      </c>
      <c r="I420" s="149" t="s">
        <v>21</v>
      </c>
      <c r="J420" s="149" t="s">
        <v>21</v>
      </c>
      <c r="K420" s="225" t="s">
        <v>21</v>
      </c>
    </row>
    <row r="421" spans="1:11" ht="10.5" customHeight="1">
      <c r="A421" s="299">
        <v>4.5</v>
      </c>
      <c r="B421" s="298" t="s">
        <v>2</v>
      </c>
      <c r="C421" s="318">
        <v>87</v>
      </c>
      <c r="D421" s="237">
        <v>137</v>
      </c>
      <c r="E421" s="237">
        <v>157</v>
      </c>
      <c r="F421" s="85" t="s">
        <v>21</v>
      </c>
      <c r="G421" s="85" t="s">
        <v>21</v>
      </c>
      <c r="H421" s="85" t="s">
        <v>21</v>
      </c>
      <c r="I421" s="85" t="s">
        <v>21</v>
      </c>
      <c r="J421" s="85" t="s">
        <v>21</v>
      </c>
      <c r="K421" s="221" t="s">
        <v>21</v>
      </c>
    </row>
    <row r="422" spans="1:11" ht="9" customHeight="1">
      <c r="A422" s="296"/>
      <c r="B422" s="296" t="s">
        <v>3</v>
      </c>
      <c r="C422" s="304">
        <v>253</v>
      </c>
      <c r="D422" s="258">
        <v>548</v>
      </c>
      <c r="E422" s="258">
        <v>859</v>
      </c>
      <c r="F422" s="258">
        <v>1092</v>
      </c>
      <c r="G422" s="258">
        <v>1266</v>
      </c>
      <c r="H422" s="258">
        <v>1252</v>
      </c>
      <c r="I422" s="146" t="s">
        <v>21</v>
      </c>
      <c r="J422" s="146" t="s">
        <v>21</v>
      </c>
      <c r="K422" s="223" t="s">
        <v>21</v>
      </c>
    </row>
    <row r="423" spans="1:11" ht="9.3000000000000007" customHeight="1">
      <c r="A423" s="296"/>
      <c r="B423" s="296" t="s">
        <v>4</v>
      </c>
      <c r="C423" s="304">
        <v>293</v>
      </c>
      <c r="D423" s="258">
        <v>467</v>
      </c>
      <c r="E423" s="258">
        <v>517</v>
      </c>
      <c r="F423" s="258">
        <v>873</v>
      </c>
      <c r="G423" s="258">
        <v>719</v>
      </c>
      <c r="H423" s="146" t="s">
        <v>21</v>
      </c>
      <c r="I423" s="146" t="s">
        <v>21</v>
      </c>
      <c r="J423" s="146" t="s">
        <v>21</v>
      </c>
      <c r="K423" s="223" t="s">
        <v>21</v>
      </c>
    </row>
    <row r="424" spans="1:11" ht="10.95" customHeight="1">
      <c r="A424" s="297"/>
      <c r="B424" s="297" t="s">
        <v>6</v>
      </c>
      <c r="C424" s="307">
        <v>439</v>
      </c>
      <c r="D424" s="259">
        <v>834</v>
      </c>
      <c r="E424" s="259">
        <v>1157</v>
      </c>
      <c r="F424" s="259">
        <v>1715</v>
      </c>
      <c r="G424" s="259">
        <v>1895</v>
      </c>
      <c r="H424" s="259">
        <v>1990</v>
      </c>
      <c r="I424" s="259">
        <v>2061</v>
      </c>
      <c r="J424" s="149" t="s">
        <v>21</v>
      </c>
      <c r="K424" s="225" t="s">
        <v>21</v>
      </c>
    </row>
    <row r="425" spans="1:11" ht="10.199999999999999" customHeight="1">
      <c r="A425" s="299">
        <v>5</v>
      </c>
      <c r="B425" s="298" t="s">
        <v>2</v>
      </c>
      <c r="C425" s="318">
        <v>81</v>
      </c>
      <c r="D425" s="237">
        <v>135</v>
      </c>
      <c r="E425" s="237">
        <v>173</v>
      </c>
      <c r="F425" s="85" t="s">
        <v>21</v>
      </c>
      <c r="G425" s="85" t="s">
        <v>21</v>
      </c>
      <c r="H425" s="85" t="s">
        <v>21</v>
      </c>
      <c r="I425" s="85" t="s">
        <v>21</v>
      </c>
      <c r="J425" s="85" t="s">
        <v>21</v>
      </c>
      <c r="K425" s="221" t="s">
        <v>21</v>
      </c>
    </row>
    <row r="426" spans="1:11" ht="9" customHeight="1">
      <c r="A426" s="296"/>
      <c r="B426" s="296" t="s">
        <v>3</v>
      </c>
      <c r="C426" s="304">
        <v>230</v>
      </c>
      <c r="D426" s="258">
        <v>523</v>
      </c>
      <c r="E426" s="258">
        <v>840</v>
      </c>
      <c r="F426" s="258">
        <v>1012</v>
      </c>
      <c r="G426" s="258">
        <v>1304</v>
      </c>
      <c r="H426" s="258">
        <v>1245</v>
      </c>
      <c r="I426" s="258">
        <v>1551</v>
      </c>
      <c r="J426" s="146" t="s">
        <v>21</v>
      </c>
      <c r="K426" s="223" t="s">
        <v>21</v>
      </c>
    </row>
    <row r="427" spans="1:11" ht="9.3000000000000007" customHeight="1">
      <c r="A427" s="296"/>
      <c r="B427" s="296" t="s">
        <v>4</v>
      </c>
      <c r="C427" s="304">
        <v>260</v>
      </c>
      <c r="D427" s="258">
        <v>449</v>
      </c>
      <c r="E427" s="258">
        <v>519</v>
      </c>
      <c r="F427" s="258">
        <v>827</v>
      </c>
      <c r="G427" s="258">
        <v>797</v>
      </c>
      <c r="H427" s="146" t="s">
        <v>21</v>
      </c>
      <c r="I427" s="146" t="s">
        <v>21</v>
      </c>
      <c r="J427" s="146" t="s">
        <v>21</v>
      </c>
      <c r="K427" s="223" t="s">
        <v>21</v>
      </c>
    </row>
    <row r="428" spans="1:11" ht="10.95" customHeight="1">
      <c r="A428" s="297"/>
      <c r="B428" s="297" t="s">
        <v>6</v>
      </c>
      <c r="C428" s="307">
        <v>391</v>
      </c>
      <c r="D428" s="259">
        <v>797</v>
      </c>
      <c r="E428" s="259">
        <v>1126</v>
      </c>
      <c r="F428" s="259">
        <v>1573</v>
      </c>
      <c r="G428" s="259">
        <v>1912</v>
      </c>
      <c r="H428" s="259">
        <v>1941</v>
      </c>
      <c r="I428" s="259">
        <v>2305</v>
      </c>
      <c r="J428" s="149" t="s">
        <v>21</v>
      </c>
      <c r="K428" s="225" t="s">
        <v>21</v>
      </c>
    </row>
    <row r="429" spans="1:11" ht="10.199999999999999" customHeight="1">
      <c r="A429" s="299">
        <v>5.6</v>
      </c>
      <c r="B429" s="298" t="s">
        <v>2</v>
      </c>
      <c r="C429" s="318">
        <v>74.599999999999994</v>
      </c>
      <c r="D429" s="237">
        <v>129</v>
      </c>
      <c r="E429" s="237">
        <v>172</v>
      </c>
      <c r="F429" s="237">
        <v>183</v>
      </c>
      <c r="G429" s="85" t="s">
        <v>21</v>
      </c>
      <c r="H429" s="85" t="s">
        <v>21</v>
      </c>
      <c r="I429" s="85" t="s">
        <v>21</v>
      </c>
      <c r="J429" s="85" t="s">
        <v>21</v>
      </c>
      <c r="K429" s="221" t="s">
        <v>21</v>
      </c>
    </row>
    <row r="430" spans="1:11" ht="9" customHeight="1">
      <c r="A430" s="296"/>
      <c r="B430" s="296" t="s">
        <v>3</v>
      </c>
      <c r="C430" s="304">
        <v>207</v>
      </c>
      <c r="D430" s="258">
        <v>472</v>
      </c>
      <c r="E430" s="258">
        <v>758</v>
      </c>
      <c r="F430" s="258">
        <v>996</v>
      </c>
      <c r="G430" s="258">
        <v>1263</v>
      </c>
      <c r="H430" s="258">
        <v>1204</v>
      </c>
      <c r="I430" s="258">
        <v>1561</v>
      </c>
      <c r="J430" s="258">
        <v>1219</v>
      </c>
      <c r="K430" s="223" t="s">
        <v>21</v>
      </c>
    </row>
    <row r="431" spans="1:11" ht="9.3000000000000007" customHeight="1">
      <c r="A431" s="296"/>
      <c r="B431" s="296" t="s">
        <v>4</v>
      </c>
      <c r="C431" s="304">
        <v>228</v>
      </c>
      <c r="D431" s="258">
        <v>411</v>
      </c>
      <c r="E431" s="258">
        <v>482</v>
      </c>
      <c r="F431" s="258">
        <v>831</v>
      </c>
      <c r="G431" s="258">
        <v>794</v>
      </c>
      <c r="H431" s="258">
        <v>632</v>
      </c>
      <c r="I431" s="258">
        <v>373</v>
      </c>
      <c r="J431" s="258">
        <v>1218</v>
      </c>
      <c r="K431" s="223" t="s">
        <v>21</v>
      </c>
    </row>
    <row r="432" spans="1:11" ht="10.8" customHeight="1">
      <c r="A432" s="387"/>
      <c r="B432" s="387" t="s">
        <v>6</v>
      </c>
      <c r="C432" s="370">
        <v>345</v>
      </c>
      <c r="D432" s="371">
        <v>719</v>
      </c>
      <c r="E432" s="371">
        <v>1014</v>
      </c>
      <c r="F432" s="371">
        <v>1536</v>
      </c>
      <c r="G432" s="371">
        <v>1837</v>
      </c>
      <c r="H432" s="371">
        <v>1824</v>
      </c>
      <c r="I432" s="371">
        <v>2220</v>
      </c>
      <c r="J432" s="379" t="s">
        <v>21</v>
      </c>
      <c r="K432" s="380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74:L374"/>
    <mergeCell ref="A375:B376"/>
    <mergeCell ref="C375:K375"/>
    <mergeCell ref="A214:L214"/>
    <mergeCell ref="A215:B216"/>
    <mergeCell ref="C215:K215"/>
    <mergeCell ref="A295:B296"/>
    <mergeCell ref="C295:K295"/>
    <mergeCell ref="A294:L29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432"/>
  <sheetViews>
    <sheetView topLeftCell="A25" zoomScaleNormal="100" workbookViewId="0">
      <selection activeCell="T48" sqref="T48:T51"/>
    </sheetView>
  </sheetViews>
  <sheetFormatPr defaultRowHeight="13.2"/>
  <sheetData>
    <row r="1" spans="1:29" ht="33.75" customHeight="1">
      <c r="A1" s="449" t="s">
        <v>532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</row>
    <row r="2" spans="1:29" ht="12" customHeight="1">
      <c r="A2" s="450" t="s">
        <v>11</v>
      </c>
      <c r="B2" s="450" t="s">
        <v>12</v>
      </c>
      <c r="C2" s="450"/>
      <c r="D2" s="470" t="s">
        <v>13</v>
      </c>
      <c r="E2" s="454" t="s">
        <v>14</v>
      </c>
      <c r="F2" s="455"/>
      <c r="G2" s="455"/>
      <c r="H2" s="455"/>
      <c r="I2" s="455"/>
      <c r="J2" s="455"/>
      <c r="K2" s="455"/>
      <c r="L2" s="455"/>
      <c r="M2" s="455"/>
      <c r="N2" s="454" t="s">
        <v>14</v>
      </c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  <c r="AC2" s="455"/>
    </row>
    <row r="3" spans="1:29" ht="12" customHeight="1">
      <c r="A3" s="452"/>
      <c r="B3" s="452"/>
      <c r="C3" s="452"/>
      <c r="D3" s="471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68">
        <v>1800</v>
      </c>
      <c r="C4" s="468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65">
        <v>1500</v>
      </c>
      <c r="C5" s="465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65">
        <v>1200</v>
      </c>
      <c r="C6" s="465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67">
        <v>1000</v>
      </c>
      <c r="C7" s="467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68">
        <v>1800</v>
      </c>
      <c r="C8" s="468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770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65">
        <v>1500</v>
      </c>
      <c r="C9" s="465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65">
        <v>1200</v>
      </c>
      <c r="C10" s="465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67">
        <v>1000</v>
      </c>
      <c r="C11" s="467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68">
        <v>1800</v>
      </c>
      <c r="C12" s="468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65">
        <v>1500</v>
      </c>
      <c r="C13" s="465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65">
        <v>1200</v>
      </c>
      <c r="C14" s="465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67">
        <v>1000</v>
      </c>
      <c r="C15" s="467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68">
        <v>1800</v>
      </c>
      <c r="C16" s="468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65">
        <v>1500</v>
      </c>
      <c r="C17" s="465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65">
        <v>1200</v>
      </c>
      <c r="C18" s="465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67">
        <v>1000</v>
      </c>
      <c r="C19" s="467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68">
        <v>1800</v>
      </c>
      <c r="C20" s="468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65">
        <v>1500</v>
      </c>
      <c r="C21" s="465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65">
        <v>1200</v>
      </c>
      <c r="C22" s="465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67">
        <v>1000</v>
      </c>
      <c r="C23" s="467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68">
        <v>1800</v>
      </c>
      <c r="C24" s="468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65">
        <v>1500</v>
      </c>
      <c r="C25" s="465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65">
        <v>1200</v>
      </c>
      <c r="C26" s="465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67">
        <v>1000</v>
      </c>
      <c r="C27" s="467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68">
        <v>1800</v>
      </c>
      <c r="C28" s="468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65">
        <v>1500</v>
      </c>
      <c r="C29" s="465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65">
        <v>1200</v>
      </c>
      <c r="C30" s="465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67">
        <v>1000</v>
      </c>
      <c r="C31" s="467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68">
        <v>1800</v>
      </c>
      <c r="C32" s="468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550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65">
        <v>1500</v>
      </c>
      <c r="C33" s="465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65">
        <v>1200</v>
      </c>
      <c r="C34" s="465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67">
        <v>1000</v>
      </c>
      <c r="C35" s="467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68">
        <v>1800</v>
      </c>
      <c r="C36" s="468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65">
        <v>1500</v>
      </c>
      <c r="C37" s="465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65">
        <v>1200</v>
      </c>
      <c r="C38" s="465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67">
        <v>1000</v>
      </c>
      <c r="C39" s="467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68">
        <v>1800</v>
      </c>
      <c r="C40" s="468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65">
        <v>1500</v>
      </c>
      <c r="C41" s="465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65">
        <v>1200</v>
      </c>
      <c r="C42" s="465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67">
        <v>1000</v>
      </c>
      <c r="C43" s="467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68">
        <v>1800</v>
      </c>
      <c r="C44" s="468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65">
        <v>1500</v>
      </c>
      <c r="C45" s="465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65">
        <v>1200</v>
      </c>
      <c r="C46" s="465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67">
        <v>1000</v>
      </c>
      <c r="C47" s="467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68">
        <v>1800</v>
      </c>
      <c r="C48" s="468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65">
        <v>1500</v>
      </c>
      <c r="C49" s="465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65">
        <v>1200</v>
      </c>
      <c r="C50" s="465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67">
        <v>1000</v>
      </c>
      <c r="C51" s="467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68">
        <v>1800</v>
      </c>
      <c r="C52" s="468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65">
        <v>1500</v>
      </c>
      <c r="C53" s="465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65">
        <v>1200</v>
      </c>
      <c r="C54" s="465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67">
        <v>1000</v>
      </c>
      <c r="C55" s="467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68">
        <v>1800</v>
      </c>
      <c r="C56" s="468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65">
        <v>1500</v>
      </c>
      <c r="C57" s="465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65">
        <v>1200</v>
      </c>
      <c r="C58" s="465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8"/>
      <c r="B59" s="466">
        <v>1000</v>
      </c>
      <c r="C59" s="466"/>
      <c r="D59" s="369">
        <v>36</v>
      </c>
      <c r="E59" s="378" t="s">
        <v>1</v>
      </c>
      <c r="F59" s="379" t="s">
        <v>1</v>
      </c>
      <c r="G59" s="371">
        <v>52</v>
      </c>
      <c r="H59" s="379" t="s">
        <v>1</v>
      </c>
      <c r="I59" s="371">
        <v>94</v>
      </c>
      <c r="J59" s="379" t="s">
        <v>1</v>
      </c>
      <c r="K59" s="371">
        <v>156</v>
      </c>
      <c r="L59" s="379" t="s">
        <v>1</v>
      </c>
      <c r="M59" s="372">
        <v>273</v>
      </c>
      <c r="N59" s="378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79" t="s">
        <v>1</v>
      </c>
      <c r="AA59" s="379" t="s">
        <v>1</v>
      </c>
      <c r="AB59" s="379" t="s">
        <v>1</v>
      </c>
      <c r="AC59" s="380" t="s">
        <v>1</v>
      </c>
    </row>
    <row r="60" spans="1:29" s="347" customFormat="1" ht="12" customHeight="1">
      <c r="A60" s="367"/>
      <c r="B60" s="345"/>
      <c r="C60" s="345"/>
      <c r="D60" s="345"/>
      <c r="E60" s="377"/>
      <c r="F60" s="377"/>
      <c r="G60" s="345"/>
      <c r="H60" s="377"/>
      <c r="I60" s="345"/>
      <c r="J60" s="377"/>
      <c r="K60" s="345"/>
      <c r="L60" s="377"/>
      <c r="M60" s="345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</row>
    <row r="61" spans="1:29" s="347" customFormat="1" ht="12" customHeight="1">
      <c r="A61" s="367"/>
      <c r="B61" s="345"/>
      <c r="C61" s="345"/>
      <c r="D61" s="345"/>
      <c r="E61" s="377"/>
      <c r="F61" s="377"/>
      <c r="G61" s="345"/>
      <c r="H61" s="377"/>
      <c r="I61" s="345"/>
      <c r="J61" s="377"/>
      <c r="K61" s="345"/>
      <c r="L61" s="377"/>
      <c r="M61" s="345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</row>
    <row r="62" spans="1:29" s="347" customFormat="1" ht="12" customHeight="1">
      <c r="A62" s="367"/>
      <c r="B62" s="345"/>
      <c r="C62" s="345"/>
      <c r="D62" s="345"/>
      <c r="E62" s="377"/>
      <c r="F62" s="377"/>
      <c r="G62" s="345"/>
      <c r="H62" s="377"/>
      <c r="I62" s="345"/>
      <c r="J62" s="377"/>
      <c r="K62" s="345"/>
      <c r="L62" s="377"/>
      <c r="M62" s="345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</row>
    <row r="63" spans="1:29" s="347" customFormat="1" ht="12" customHeight="1">
      <c r="A63" s="367"/>
      <c r="B63" s="345"/>
      <c r="C63" s="345"/>
      <c r="D63" s="345"/>
      <c r="E63" s="377"/>
      <c r="F63" s="377"/>
      <c r="G63" s="345"/>
      <c r="H63" s="377"/>
      <c r="I63" s="345"/>
      <c r="J63" s="377"/>
      <c r="K63" s="345"/>
      <c r="L63" s="377"/>
      <c r="M63" s="345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</row>
    <row r="64" spans="1:29" s="347" customFormat="1" ht="12" customHeight="1">
      <c r="A64" s="367"/>
      <c r="B64" s="345"/>
      <c r="C64" s="345"/>
      <c r="D64" s="345"/>
      <c r="E64" s="377"/>
      <c r="F64" s="377"/>
      <c r="G64" s="345"/>
      <c r="H64" s="377"/>
      <c r="I64" s="345"/>
      <c r="J64" s="377"/>
      <c r="K64" s="345"/>
      <c r="L64" s="377"/>
      <c r="M64" s="345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</row>
    <row r="65" spans="1:29" s="347" customFormat="1" ht="12" customHeight="1">
      <c r="A65" s="367"/>
      <c r="B65" s="345"/>
      <c r="C65" s="345"/>
      <c r="D65" s="345"/>
      <c r="E65" s="377"/>
      <c r="F65" s="377"/>
      <c r="G65" s="345"/>
      <c r="H65" s="377"/>
      <c r="I65" s="345"/>
      <c r="J65" s="377"/>
      <c r="K65" s="345"/>
      <c r="L65" s="377"/>
      <c r="M65" s="345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</row>
    <row r="66" spans="1:29" s="347" customFormat="1" ht="12" customHeight="1">
      <c r="A66" s="367"/>
      <c r="B66" s="345"/>
      <c r="C66" s="345"/>
      <c r="D66" s="345"/>
      <c r="E66" s="377"/>
      <c r="F66" s="377"/>
      <c r="G66" s="345"/>
      <c r="H66" s="377"/>
      <c r="I66" s="345"/>
      <c r="J66" s="377"/>
      <c r="K66" s="345"/>
      <c r="L66" s="377"/>
      <c r="M66" s="345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</row>
    <row r="67" spans="1:29" s="347" customFormat="1" ht="12" customHeight="1">
      <c r="A67" s="367"/>
      <c r="B67" s="345"/>
      <c r="C67" s="345"/>
      <c r="D67" s="345"/>
      <c r="E67" s="377"/>
      <c r="F67" s="377"/>
      <c r="G67" s="345"/>
      <c r="H67" s="377"/>
      <c r="I67" s="345"/>
      <c r="J67" s="377"/>
      <c r="K67" s="345"/>
      <c r="L67" s="377"/>
      <c r="M67" s="345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</row>
    <row r="68" spans="1:29" s="347" customFormat="1" ht="12" customHeight="1">
      <c r="A68" s="367"/>
      <c r="B68" s="345"/>
      <c r="C68" s="345"/>
      <c r="D68" s="345"/>
      <c r="E68" s="377"/>
      <c r="F68" s="377"/>
      <c r="G68" s="345"/>
      <c r="H68" s="377"/>
      <c r="I68" s="345"/>
      <c r="J68" s="377"/>
      <c r="K68" s="345"/>
      <c r="L68" s="377"/>
      <c r="M68" s="345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</row>
    <row r="69" spans="1:29" s="347" customFormat="1" ht="12" customHeight="1">
      <c r="A69" s="367"/>
      <c r="B69" s="345"/>
      <c r="C69" s="345"/>
      <c r="D69" s="345"/>
      <c r="E69" s="377"/>
      <c r="F69" s="377"/>
      <c r="G69" s="345"/>
      <c r="H69" s="377"/>
      <c r="I69" s="345"/>
      <c r="J69" s="377"/>
      <c r="K69" s="345"/>
      <c r="L69" s="377"/>
      <c r="M69" s="345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</row>
    <row r="70" spans="1:29" s="347" customFormat="1" ht="12" customHeight="1">
      <c r="A70" s="367"/>
      <c r="B70" s="345"/>
      <c r="C70" s="345"/>
      <c r="D70" s="345"/>
      <c r="E70" s="377"/>
      <c r="F70" s="377"/>
      <c r="G70" s="345"/>
      <c r="H70" s="377"/>
      <c r="I70" s="345"/>
      <c r="J70" s="377"/>
      <c r="K70" s="345"/>
      <c r="L70" s="377"/>
      <c r="M70" s="345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</row>
    <row r="71" spans="1:29" s="347" customFormat="1" ht="12" customHeight="1">
      <c r="A71" s="367"/>
      <c r="B71" s="345"/>
      <c r="C71" s="345"/>
      <c r="D71" s="345"/>
      <c r="E71" s="377"/>
      <c r="F71" s="377"/>
      <c r="G71" s="345"/>
      <c r="H71" s="377"/>
      <c r="I71" s="345"/>
      <c r="J71" s="377"/>
      <c r="K71" s="345"/>
      <c r="L71" s="377"/>
      <c r="M71" s="345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</row>
    <row r="72" spans="1:29" s="347" customFormat="1" ht="12" customHeight="1">
      <c r="A72" s="367"/>
      <c r="B72" s="345"/>
      <c r="C72" s="345"/>
      <c r="D72" s="345"/>
      <c r="E72" s="377"/>
      <c r="F72" s="377"/>
      <c r="G72" s="345"/>
      <c r="H72" s="377"/>
      <c r="I72" s="345"/>
      <c r="J72" s="377"/>
      <c r="K72" s="345"/>
      <c r="L72" s="377"/>
      <c r="M72" s="345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</row>
    <row r="73" spans="1:29" s="347" customFormat="1" ht="12" customHeight="1">
      <c r="A73" s="367"/>
      <c r="B73" s="345"/>
      <c r="C73" s="345"/>
      <c r="D73" s="345"/>
      <c r="E73" s="377"/>
      <c r="F73" s="377"/>
      <c r="G73" s="345"/>
      <c r="H73" s="377"/>
      <c r="I73" s="345"/>
      <c r="J73" s="377"/>
      <c r="K73" s="345"/>
      <c r="L73" s="377"/>
      <c r="M73" s="345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</row>
    <row r="74" spans="1:29" s="347" customFormat="1" ht="12" customHeight="1">
      <c r="A74" s="367"/>
      <c r="B74" s="345"/>
      <c r="C74" s="345"/>
      <c r="D74" s="345"/>
      <c r="E74" s="377"/>
      <c r="F74" s="377"/>
      <c r="G74" s="345"/>
      <c r="H74" s="377"/>
      <c r="I74" s="345"/>
      <c r="J74" s="377"/>
      <c r="K74" s="345"/>
      <c r="L74" s="377"/>
      <c r="M74" s="345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</row>
    <row r="75" spans="1:29" s="347" customFormat="1" ht="12" customHeight="1">
      <c r="A75" s="367"/>
      <c r="B75" s="345"/>
      <c r="C75" s="345"/>
      <c r="D75" s="345"/>
      <c r="E75" s="377"/>
      <c r="F75" s="377"/>
      <c r="G75" s="345"/>
      <c r="H75" s="377"/>
      <c r="I75" s="345"/>
      <c r="J75" s="377"/>
      <c r="K75" s="345"/>
      <c r="L75" s="377"/>
      <c r="M75" s="345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</row>
    <row r="76" spans="1:29" ht="12" customHeight="1"/>
    <row r="77" spans="1:29" ht="36.75" customHeight="1">
      <c r="A77" s="449" t="s">
        <v>174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</row>
    <row r="78" spans="1:29" ht="11.25" customHeight="1">
      <c r="A78" s="451" t="s">
        <v>69</v>
      </c>
      <c r="B78" s="473" t="s">
        <v>14</v>
      </c>
      <c r="C78" s="474"/>
      <c r="D78" s="474"/>
      <c r="E78" s="474"/>
      <c r="F78" s="474"/>
      <c r="G78" s="474"/>
      <c r="H78" s="474"/>
      <c r="I78" s="474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</row>
    <row r="79" spans="1:29" ht="11.25" customHeight="1">
      <c r="A79" s="453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4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6" t="s">
        <v>175</v>
      </c>
    </row>
    <row r="81" spans="1:28" ht="11.25" customHeight="1">
      <c r="A81" s="340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7"/>
    </row>
    <row r="82" spans="1:28" ht="11.25" customHeight="1">
      <c r="A82" s="340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7"/>
    </row>
    <row r="83" spans="1:28" ht="11.25" customHeight="1">
      <c r="A83" s="340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7"/>
    </row>
    <row r="84" spans="1:28" ht="11.25" customHeight="1">
      <c r="A84" s="339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7"/>
    </row>
    <row r="85" spans="1:28" ht="11.25" customHeight="1">
      <c r="A85" s="394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7"/>
    </row>
    <row r="86" spans="1:28" ht="11.25" customHeight="1">
      <c r="A86" s="340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7"/>
    </row>
    <row r="87" spans="1:28" ht="11.25" customHeight="1">
      <c r="A87" s="340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7"/>
    </row>
    <row r="88" spans="1:28" ht="11.25" customHeight="1">
      <c r="A88" s="394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7"/>
    </row>
    <row r="89" spans="1:28" ht="11.25" customHeight="1">
      <c r="A89" s="394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7"/>
    </row>
    <row r="90" spans="1:28" ht="11.25" customHeight="1">
      <c r="A90" s="339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7"/>
    </row>
    <row r="91" spans="1:28" ht="11.25" customHeight="1">
      <c r="A91" s="340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7"/>
    </row>
    <row r="92" spans="1:28" ht="11.25" customHeight="1">
      <c r="A92" s="339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7"/>
    </row>
    <row r="93" spans="1:28" ht="11.25" customHeight="1">
      <c r="A93" s="340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340">
        <v>6.3</v>
      </c>
      <c r="B94" s="343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89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58" t="s">
        <v>176</v>
      </c>
    </row>
    <row r="95" spans="1:28" ht="11.25" customHeight="1">
      <c r="A95" s="340">
        <v>7.1</v>
      </c>
      <c r="B95" s="343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89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59"/>
    </row>
    <row r="96" spans="1:28" ht="11.25" customHeight="1">
      <c r="A96" s="339">
        <v>8</v>
      </c>
      <c r="B96" s="343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89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59"/>
    </row>
    <row r="97" spans="1:28" ht="11.25" customHeight="1">
      <c r="A97" s="339">
        <v>9</v>
      </c>
      <c r="B97" s="343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89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59"/>
    </row>
    <row r="98" spans="1:28" ht="11.25" customHeight="1">
      <c r="A98" s="339">
        <v>10</v>
      </c>
      <c r="B98" s="343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89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59"/>
    </row>
    <row r="99" spans="1:28" ht="11.25" customHeight="1">
      <c r="A99" s="340">
        <v>11.2</v>
      </c>
      <c r="B99" s="343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89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59"/>
    </row>
    <row r="100" spans="1:28" ht="11.25" customHeight="1">
      <c r="A100" s="340">
        <v>12.5</v>
      </c>
      <c r="B100" s="343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89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59"/>
    </row>
    <row r="101" spans="1:28" ht="11.25" customHeight="1">
      <c r="A101" s="339">
        <v>14</v>
      </c>
      <c r="B101" s="343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89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59"/>
    </row>
    <row r="102" spans="1:28" ht="11.25" customHeight="1">
      <c r="A102" s="339">
        <v>16</v>
      </c>
      <c r="B102" s="343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89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59"/>
    </row>
    <row r="103" spans="1:28" ht="11.25" customHeight="1">
      <c r="A103" s="339">
        <v>18</v>
      </c>
      <c r="B103" s="343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89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59"/>
    </row>
    <row r="104" spans="1:28" ht="11.25" customHeight="1">
      <c r="A104" s="339">
        <v>20</v>
      </c>
      <c r="B104" s="343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89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59"/>
    </row>
    <row r="105" spans="1:28" ht="11.25" customHeight="1">
      <c r="A105" s="340">
        <v>22.4</v>
      </c>
      <c r="B105" s="343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1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60"/>
    </row>
    <row r="106" spans="1:28" ht="11.25" customHeight="1">
      <c r="A106" s="339">
        <v>25</v>
      </c>
      <c r="B106" s="335" t="s">
        <v>1</v>
      </c>
      <c r="C106" s="337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1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62" t="s">
        <v>72</v>
      </c>
    </row>
    <row r="107" spans="1:28" ht="11.25" customHeight="1">
      <c r="A107" s="339">
        <v>28</v>
      </c>
      <c r="B107" s="335" t="s">
        <v>1</v>
      </c>
      <c r="C107" s="337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1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63"/>
    </row>
    <row r="108" spans="1:28" ht="11.25" customHeight="1">
      <c r="A108" s="340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1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63"/>
    </row>
    <row r="109" spans="1:28" ht="11.25" customHeight="1">
      <c r="A109" s="340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1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63"/>
    </row>
    <row r="110" spans="1:28" ht="11.25" customHeight="1">
      <c r="A110" s="339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1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63"/>
    </row>
    <row r="111" spans="1:28" ht="11.25" customHeight="1">
      <c r="A111" s="339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1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63"/>
    </row>
    <row r="112" spans="1:28" ht="11.25" customHeight="1">
      <c r="A112" s="339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1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63"/>
    </row>
    <row r="113" spans="1:28" ht="11.25" customHeight="1">
      <c r="A113" s="339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1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63"/>
    </row>
    <row r="114" spans="1:28" ht="11.25" customHeight="1">
      <c r="A114" s="339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1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63"/>
    </row>
    <row r="115" spans="1:28" ht="11.25" customHeight="1">
      <c r="A115" s="339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1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63"/>
    </row>
    <row r="116" spans="1:28" ht="11.25" customHeight="1">
      <c r="A116" s="339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1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63"/>
    </row>
    <row r="117" spans="1:28" ht="11.25" customHeight="1">
      <c r="A117" s="339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1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63"/>
    </row>
    <row r="118" spans="1:28" ht="11.25" customHeight="1">
      <c r="A118" s="339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64"/>
    </row>
    <row r="119" spans="1:28" ht="11.25" customHeight="1">
      <c r="A119" s="339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56" t="s">
        <v>73</v>
      </c>
    </row>
    <row r="120" spans="1:28" ht="11.25" customHeight="1">
      <c r="A120" s="339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57"/>
    </row>
    <row r="121" spans="1:28" ht="11.25" customHeight="1">
      <c r="A121" s="339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57"/>
    </row>
    <row r="122" spans="1:28" ht="11.25" customHeight="1">
      <c r="A122" s="339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57"/>
    </row>
    <row r="123" spans="1:28" ht="11.25" customHeight="1">
      <c r="A123" s="339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57"/>
    </row>
    <row r="124" spans="1:28" ht="11.25" customHeight="1">
      <c r="A124" s="339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57"/>
    </row>
    <row r="125" spans="1:28" ht="11.25" customHeight="1">
      <c r="A125" s="339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57"/>
    </row>
    <row r="126" spans="1:28" ht="11.25" customHeight="1">
      <c r="A126" s="339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57"/>
    </row>
    <row r="127" spans="1:28" ht="11.25" customHeight="1">
      <c r="A127" s="339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57"/>
    </row>
    <row r="128" spans="1:28" ht="11.25" customHeight="1">
      <c r="A128" s="339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57"/>
    </row>
    <row r="129" spans="1:28" ht="11.25" customHeight="1">
      <c r="A129" s="339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57"/>
    </row>
    <row r="130" spans="1:28" ht="11.25" customHeight="1">
      <c r="A130" s="339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57"/>
    </row>
    <row r="131" spans="1:28" ht="11.25" customHeight="1">
      <c r="A131" s="395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72"/>
    </row>
    <row r="134" spans="1:28" ht="40.799999999999997" customHeight="1">
      <c r="A134" s="475" t="s">
        <v>533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  <c r="U134" s="449"/>
      <c r="V134" s="449"/>
    </row>
    <row r="135" spans="1:28" ht="12.3" customHeight="1">
      <c r="A135" s="450" t="s">
        <v>69</v>
      </c>
      <c r="B135" s="451"/>
      <c r="C135" s="454" t="s">
        <v>14</v>
      </c>
      <c r="D135" s="455"/>
      <c r="E135" s="455"/>
      <c r="F135" s="455"/>
      <c r="G135" s="455"/>
      <c r="H135" s="455"/>
      <c r="I135" s="455"/>
      <c r="J135" s="455"/>
      <c r="K135" s="455"/>
      <c r="L135" s="455"/>
      <c r="M135" s="455"/>
      <c r="N135" s="455"/>
      <c r="O135" s="455"/>
      <c r="P135" s="455"/>
      <c r="Q135" s="455"/>
      <c r="R135" s="455"/>
      <c r="S135" s="455"/>
      <c r="T135" s="455"/>
      <c r="U135" s="455"/>
    </row>
    <row r="136" spans="1:28" ht="9" customHeight="1">
      <c r="A136" s="452"/>
      <c r="B136" s="453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>
        <v>6.3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>
        <v>7.1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>
        <v>8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>
        <v>9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>
        <v>11.2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>
        <v>12.5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>
        <v>22.4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7"/>
      <c r="B192" s="387" t="s">
        <v>7</v>
      </c>
      <c r="C192" s="378" t="s">
        <v>1</v>
      </c>
      <c r="D192" s="379" t="s">
        <v>1</v>
      </c>
      <c r="E192" s="371">
        <v>172</v>
      </c>
      <c r="F192" s="379" t="s">
        <v>1</v>
      </c>
      <c r="G192" s="371">
        <v>291</v>
      </c>
      <c r="H192" s="379" t="s">
        <v>1</v>
      </c>
      <c r="I192" s="371">
        <v>394</v>
      </c>
      <c r="J192" s="379" t="s">
        <v>1</v>
      </c>
      <c r="K192" s="371">
        <v>695</v>
      </c>
      <c r="L192" s="379" t="s">
        <v>1</v>
      </c>
      <c r="M192" s="379" t="s">
        <v>1</v>
      </c>
      <c r="N192" s="379" t="s">
        <v>1</v>
      </c>
      <c r="O192" s="379" t="s">
        <v>1</v>
      </c>
      <c r="P192" s="379" t="s">
        <v>1</v>
      </c>
      <c r="Q192" s="379" t="s">
        <v>1</v>
      </c>
      <c r="R192" s="379" t="s">
        <v>1</v>
      </c>
      <c r="S192" s="379" t="s">
        <v>1</v>
      </c>
      <c r="T192" s="379" t="s">
        <v>1</v>
      </c>
      <c r="U192" s="380" t="s">
        <v>1</v>
      </c>
    </row>
    <row r="214" spans="1:22" ht="40.799999999999997" customHeight="1">
      <c r="A214" s="475" t="s">
        <v>534</v>
      </c>
      <c r="B214" s="449"/>
      <c r="C214" s="449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  <c r="R214" s="449"/>
      <c r="S214" s="449"/>
      <c r="T214" s="449"/>
      <c r="U214" s="449"/>
      <c r="V214" s="449"/>
    </row>
    <row r="215" spans="1:22" ht="12.3" customHeight="1">
      <c r="A215" s="450" t="s">
        <v>69</v>
      </c>
      <c r="B215" s="451"/>
      <c r="C215" s="454" t="s">
        <v>14</v>
      </c>
      <c r="D215" s="455"/>
      <c r="E215" s="455"/>
      <c r="F215" s="455"/>
      <c r="G215" s="455"/>
      <c r="H215" s="455"/>
      <c r="I215" s="455"/>
      <c r="J215" s="455"/>
      <c r="K215" s="455"/>
      <c r="L215" s="455"/>
      <c r="M215" s="455"/>
      <c r="N215" s="455"/>
      <c r="O215" s="455"/>
      <c r="P215" s="455"/>
      <c r="Q215" s="455"/>
      <c r="R215" s="455"/>
      <c r="S215" s="455"/>
      <c r="T215" s="455"/>
      <c r="U215" s="455"/>
    </row>
    <row r="216" spans="1:22" ht="9" customHeight="1">
      <c r="A216" s="452"/>
      <c r="B216" s="453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156">
        <v>19</v>
      </c>
      <c r="S216" s="33">
        <v>20</v>
      </c>
      <c r="T216" s="33">
        <v>21</v>
      </c>
      <c r="U216" s="34">
        <v>22</v>
      </c>
    </row>
    <row r="217" spans="1:22" ht="10.5" customHeight="1">
      <c r="A217" s="300">
        <v>6.3</v>
      </c>
      <c r="B217" s="298" t="s">
        <v>2</v>
      </c>
      <c r="C217" s="318">
        <v>64.400000000000006</v>
      </c>
      <c r="D217" s="262">
        <v>78.2</v>
      </c>
      <c r="E217" s="85" t="s">
        <v>1</v>
      </c>
      <c r="F217" s="237">
        <v>104</v>
      </c>
      <c r="G217" s="85" t="s">
        <v>1</v>
      </c>
      <c r="H217" s="237">
        <v>107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2" ht="9" customHeight="1">
      <c r="A218" s="314"/>
      <c r="B218" s="296" t="s">
        <v>3</v>
      </c>
      <c r="C218" s="304">
        <v>141</v>
      </c>
      <c r="D218" s="258">
        <v>195</v>
      </c>
      <c r="E218" s="146" t="s">
        <v>1</v>
      </c>
      <c r="F218" s="258">
        <v>315</v>
      </c>
      <c r="G218" s="146" t="s">
        <v>1</v>
      </c>
      <c r="H218" s="258">
        <v>364</v>
      </c>
      <c r="I218" s="146" t="s">
        <v>1</v>
      </c>
      <c r="J218" s="258">
        <v>575</v>
      </c>
      <c r="K218" s="146" t="s">
        <v>1</v>
      </c>
      <c r="L218" s="258">
        <v>665</v>
      </c>
      <c r="M218" s="146" t="s">
        <v>1</v>
      </c>
      <c r="N218" s="258">
        <v>577</v>
      </c>
      <c r="O218" s="146" t="s">
        <v>1</v>
      </c>
      <c r="P218" s="258">
        <v>389</v>
      </c>
      <c r="Q218" s="146" t="s">
        <v>1</v>
      </c>
      <c r="R218" s="146" t="s">
        <v>21</v>
      </c>
      <c r="S218" s="146" t="s">
        <v>1</v>
      </c>
      <c r="T218" s="146" t="s">
        <v>21</v>
      </c>
      <c r="U218" s="223" t="s">
        <v>1</v>
      </c>
    </row>
    <row r="219" spans="1:22" ht="9.3000000000000007" customHeight="1">
      <c r="A219" s="314"/>
      <c r="B219" s="296" t="s">
        <v>5</v>
      </c>
      <c r="C219" s="304">
        <v>155</v>
      </c>
      <c r="D219" s="258">
        <v>258</v>
      </c>
      <c r="E219" s="146" t="s">
        <v>1</v>
      </c>
      <c r="F219" s="258">
        <v>369</v>
      </c>
      <c r="G219" s="146" t="s">
        <v>1</v>
      </c>
      <c r="H219" s="258">
        <v>602</v>
      </c>
      <c r="I219" s="146" t="s">
        <v>1</v>
      </c>
      <c r="J219" s="258">
        <v>677</v>
      </c>
      <c r="K219" s="146" t="s">
        <v>1</v>
      </c>
      <c r="L219" s="258">
        <v>675</v>
      </c>
      <c r="M219" s="146" t="s">
        <v>1</v>
      </c>
      <c r="N219" s="258">
        <v>451</v>
      </c>
      <c r="O219" s="146" t="s">
        <v>1</v>
      </c>
      <c r="P219" s="258">
        <v>389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2" ht="10.8" customHeight="1">
      <c r="A220" s="315"/>
      <c r="B220" s="297" t="s">
        <v>7</v>
      </c>
      <c r="C220" s="307">
        <v>223</v>
      </c>
      <c r="D220" s="259">
        <v>357</v>
      </c>
      <c r="E220" s="149" t="s">
        <v>1</v>
      </c>
      <c r="F220" s="259">
        <v>553</v>
      </c>
      <c r="G220" s="149" t="s">
        <v>1</v>
      </c>
      <c r="H220" s="259">
        <v>817</v>
      </c>
      <c r="I220" s="149" t="s">
        <v>1</v>
      </c>
      <c r="J220" s="259">
        <v>1090</v>
      </c>
      <c r="K220" s="149" t="s">
        <v>1</v>
      </c>
      <c r="L220" s="259">
        <v>1218</v>
      </c>
      <c r="M220" s="149" t="s">
        <v>1</v>
      </c>
      <c r="N220" s="259">
        <v>1159</v>
      </c>
      <c r="O220" s="149" t="s">
        <v>1</v>
      </c>
      <c r="P220" s="259">
        <v>1000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2" ht="10.199999999999999" customHeight="1">
      <c r="A221" s="300">
        <v>7.1</v>
      </c>
      <c r="B221" s="298" t="s">
        <v>2</v>
      </c>
      <c r="C221" s="318">
        <v>67.099999999999994</v>
      </c>
      <c r="D221" s="262">
        <v>82.6</v>
      </c>
      <c r="E221" s="85" t="s">
        <v>1</v>
      </c>
      <c r="F221" s="237">
        <v>107</v>
      </c>
      <c r="G221" s="85" t="s">
        <v>1</v>
      </c>
      <c r="H221" s="237">
        <v>119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331"/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2" ht="9.3000000000000007" customHeight="1">
      <c r="A222" s="314"/>
      <c r="B222" s="296" t="s">
        <v>3</v>
      </c>
      <c r="C222" s="304">
        <v>145</v>
      </c>
      <c r="D222" s="258">
        <v>197</v>
      </c>
      <c r="E222" s="146" t="s">
        <v>1</v>
      </c>
      <c r="F222" s="258">
        <v>302</v>
      </c>
      <c r="G222" s="146" t="s">
        <v>1</v>
      </c>
      <c r="H222" s="258">
        <v>356</v>
      </c>
      <c r="I222" s="146" t="s">
        <v>1</v>
      </c>
      <c r="J222" s="258">
        <v>569</v>
      </c>
      <c r="K222" s="146" t="s">
        <v>1</v>
      </c>
      <c r="L222" s="258">
        <v>692</v>
      </c>
      <c r="M222" s="146" t="s">
        <v>1</v>
      </c>
      <c r="N222" s="258">
        <v>653</v>
      </c>
      <c r="O222" s="146" t="s">
        <v>1</v>
      </c>
      <c r="P222" s="258">
        <v>657</v>
      </c>
      <c r="Q222" s="258">
        <v>433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2" ht="9.3000000000000007" customHeight="1">
      <c r="A223" s="314"/>
      <c r="B223" s="296" t="s">
        <v>5</v>
      </c>
      <c r="C223" s="304">
        <v>156</v>
      </c>
      <c r="D223" s="258">
        <v>253</v>
      </c>
      <c r="E223" s="146" t="s">
        <v>1</v>
      </c>
      <c r="F223" s="258">
        <v>353</v>
      </c>
      <c r="G223" s="146" t="s">
        <v>1</v>
      </c>
      <c r="H223" s="258">
        <v>580</v>
      </c>
      <c r="I223" s="146" t="s">
        <v>1</v>
      </c>
      <c r="J223" s="258">
        <v>667</v>
      </c>
      <c r="K223" s="146" t="s">
        <v>1</v>
      </c>
      <c r="L223" s="258">
        <v>702</v>
      </c>
      <c r="M223" s="146" t="s">
        <v>1</v>
      </c>
      <c r="N223" s="258">
        <v>537</v>
      </c>
      <c r="O223" s="146" t="s">
        <v>1</v>
      </c>
      <c r="P223" s="258">
        <v>187</v>
      </c>
      <c r="Q223" s="258">
        <v>433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2" ht="10.8" customHeight="1">
      <c r="A224" s="315"/>
      <c r="B224" s="297" t="s">
        <v>7</v>
      </c>
      <c r="C224" s="307">
        <v>226</v>
      </c>
      <c r="D224" s="259">
        <v>353</v>
      </c>
      <c r="E224" s="149" t="s">
        <v>1</v>
      </c>
      <c r="F224" s="259">
        <v>524</v>
      </c>
      <c r="G224" s="149" t="s">
        <v>1</v>
      </c>
      <c r="H224" s="259">
        <v>780</v>
      </c>
      <c r="I224" s="149" t="s">
        <v>1</v>
      </c>
      <c r="J224" s="259">
        <v>1056</v>
      </c>
      <c r="K224" s="149" t="s">
        <v>1</v>
      </c>
      <c r="L224" s="259">
        <v>1218</v>
      </c>
      <c r="M224" s="149" t="s">
        <v>1</v>
      </c>
      <c r="N224" s="259">
        <v>1212</v>
      </c>
      <c r="O224" s="149" t="s">
        <v>1</v>
      </c>
      <c r="P224" s="259">
        <v>1219</v>
      </c>
      <c r="Q224" s="259">
        <v>1036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8</v>
      </c>
      <c r="B225" s="298" t="s">
        <v>2</v>
      </c>
      <c r="C225" s="318">
        <v>65.599999999999994</v>
      </c>
      <c r="D225" s="262">
        <v>82</v>
      </c>
      <c r="E225" s="262">
        <v>88.1</v>
      </c>
      <c r="F225" s="237">
        <v>107</v>
      </c>
      <c r="G225" s="237">
        <v>117</v>
      </c>
      <c r="H225" s="237">
        <v>125</v>
      </c>
      <c r="I225" s="237">
        <v>115</v>
      </c>
      <c r="J225" s="237">
        <v>131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138</v>
      </c>
      <c r="D226" s="258">
        <v>191</v>
      </c>
      <c r="E226" s="258">
        <v>212</v>
      </c>
      <c r="F226" s="258">
        <v>292</v>
      </c>
      <c r="G226" s="258">
        <v>332</v>
      </c>
      <c r="H226" s="258">
        <v>350</v>
      </c>
      <c r="I226" s="258">
        <v>363</v>
      </c>
      <c r="J226" s="258">
        <v>571</v>
      </c>
      <c r="K226" s="258">
        <v>645</v>
      </c>
      <c r="L226" s="258">
        <v>702</v>
      </c>
      <c r="M226" s="258">
        <v>734</v>
      </c>
      <c r="N226" s="258">
        <v>708</v>
      </c>
      <c r="O226" s="258">
        <v>679</v>
      </c>
      <c r="P226" s="258">
        <v>778</v>
      </c>
      <c r="Q226" s="258">
        <v>695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147</v>
      </c>
      <c r="D227" s="258">
        <v>242</v>
      </c>
      <c r="E227" s="258">
        <v>266</v>
      </c>
      <c r="F227" s="258">
        <v>342</v>
      </c>
      <c r="G227" s="258">
        <v>377</v>
      </c>
      <c r="H227" s="258">
        <v>564</v>
      </c>
      <c r="I227" s="258">
        <v>580</v>
      </c>
      <c r="J227" s="258">
        <v>666</v>
      </c>
      <c r="K227" s="258">
        <v>729</v>
      </c>
      <c r="L227" s="258">
        <v>716</v>
      </c>
      <c r="M227" s="258">
        <v>725</v>
      </c>
      <c r="N227" s="258">
        <v>600</v>
      </c>
      <c r="O227" s="258">
        <v>552</v>
      </c>
      <c r="P227" s="258">
        <v>351</v>
      </c>
      <c r="Q227" s="258">
        <v>214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214</v>
      </c>
      <c r="D228" s="259">
        <v>338</v>
      </c>
      <c r="E228" s="259">
        <v>371</v>
      </c>
      <c r="F228" s="259">
        <v>504</v>
      </c>
      <c r="G228" s="259">
        <v>566</v>
      </c>
      <c r="H228" s="259">
        <v>755</v>
      </c>
      <c r="I228" s="259">
        <v>789</v>
      </c>
      <c r="J228" s="259">
        <v>1029</v>
      </c>
      <c r="K228" s="259">
        <v>1176</v>
      </c>
      <c r="L228" s="259">
        <v>1207</v>
      </c>
      <c r="M228" s="259">
        <v>1291</v>
      </c>
      <c r="N228" s="259">
        <v>1242</v>
      </c>
      <c r="O228" s="259">
        <v>1236</v>
      </c>
      <c r="P228" s="259">
        <v>1316</v>
      </c>
      <c r="Q228" s="259">
        <v>1253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9</v>
      </c>
      <c r="B229" s="298" t="s">
        <v>2</v>
      </c>
      <c r="C229" s="318">
        <v>63.6</v>
      </c>
      <c r="D229" s="262">
        <v>80.3</v>
      </c>
      <c r="E229" s="262">
        <v>92.5</v>
      </c>
      <c r="F229" s="237">
        <v>107</v>
      </c>
      <c r="G229" s="237">
        <v>119</v>
      </c>
      <c r="H229" s="237">
        <v>128</v>
      </c>
      <c r="I229" s="237">
        <v>126</v>
      </c>
      <c r="J229" s="237">
        <v>158</v>
      </c>
      <c r="K229" s="237">
        <v>139</v>
      </c>
      <c r="L229" s="237">
        <v>164</v>
      </c>
      <c r="M229" s="237">
        <v>123</v>
      </c>
      <c r="N229" s="262">
        <v>39.200000000000003</v>
      </c>
      <c r="O229" s="237">
        <v>225</v>
      </c>
      <c r="P229" s="237">
        <v>124</v>
      </c>
      <c r="Q229" s="262">
        <v>95.8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134</v>
      </c>
      <c r="D230" s="258">
        <v>185</v>
      </c>
      <c r="E230" s="258">
        <v>214</v>
      </c>
      <c r="F230" s="258">
        <v>282</v>
      </c>
      <c r="G230" s="258">
        <v>317</v>
      </c>
      <c r="H230" s="258">
        <v>342</v>
      </c>
      <c r="I230" s="258">
        <v>354</v>
      </c>
      <c r="J230" s="258">
        <v>557</v>
      </c>
      <c r="K230" s="258">
        <v>634</v>
      </c>
      <c r="L230" s="258">
        <v>703</v>
      </c>
      <c r="M230" s="258">
        <v>754</v>
      </c>
      <c r="N230" s="258">
        <v>745</v>
      </c>
      <c r="O230" s="258">
        <v>732</v>
      </c>
      <c r="P230" s="258">
        <v>865</v>
      </c>
      <c r="Q230" s="258">
        <v>816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141</v>
      </c>
      <c r="D231" s="258">
        <v>230</v>
      </c>
      <c r="E231" s="258">
        <v>261</v>
      </c>
      <c r="F231" s="258">
        <v>331</v>
      </c>
      <c r="G231" s="258">
        <v>360</v>
      </c>
      <c r="H231" s="258">
        <v>536</v>
      </c>
      <c r="I231" s="258">
        <v>559</v>
      </c>
      <c r="J231" s="258">
        <v>646</v>
      </c>
      <c r="K231" s="258">
        <v>716</v>
      </c>
      <c r="L231" s="258">
        <v>718</v>
      </c>
      <c r="M231" s="258">
        <v>750</v>
      </c>
      <c r="N231" s="258">
        <v>645</v>
      </c>
      <c r="O231" s="258">
        <v>617</v>
      </c>
      <c r="P231" s="258">
        <v>469</v>
      </c>
      <c r="Q231" s="258">
        <v>377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204</v>
      </c>
      <c r="D232" s="259">
        <v>323</v>
      </c>
      <c r="E232" s="259">
        <v>367</v>
      </c>
      <c r="F232" s="259">
        <v>486</v>
      </c>
      <c r="G232" s="259">
        <v>536</v>
      </c>
      <c r="H232" s="259">
        <v>718</v>
      </c>
      <c r="I232" s="259">
        <v>753</v>
      </c>
      <c r="J232" s="259">
        <v>978</v>
      </c>
      <c r="K232" s="259">
        <v>1139</v>
      </c>
      <c r="L232" s="259">
        <v>1184</v>
      </c>
      <c r="M232" s="259">
        <v>1289</v>
      </c>
      <c r="N232" s="259">
        <v>1246</v>
      </c>
      <c r="O232" s="259">
        <v>1265</v>
      </c>
      <c r="P232" s="259">
        <v>1379</v>
      </c>
      <c r="Q232" s="259">
        <v>1346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10</v>
      </c>
      <c r="B233" s="298" t="s">
        <v>2</v>
      </c>
      <c r="C233" s="318">
        <v>60.8</v>
      </c>
      <c r="D233" s="262">
        <v>76.900000000000006</v>
      </c>
      <c r="E233" s="262">
        <v>91.4</v>
      </c>
      <c r="F233" s="237">
        <v>105</v>
      </c>
      <c r="G233" s="237">
        <v>118</v>
      </c>
      <c r="H233" s="237">
        <v>128</v>
      </c>
      <c r="I233" s="237">
        <v>131</v>
      </c>
      <c r="J233" s="237">
        <v>169</v>
      </c>
      <c r="K233" s="237">
        <v>165</v>
      </c>
      <c r="L233" s="237">
        <v>198</v>
      </c>
      <c r="M233" s="237">
        <v>169</v>
      </c>
      <c r="N233" s="85" t="s">
        <v>21</v>
      </c>
      <c r="O233" s="85" t="s">
        <v>21</v>
      </c>
      <c r="P233" s="85" t="s">
        <v>21</v>
      </c>
      <c r="Q233" s="85" t="s">
        <v>21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04">
        <v>126</v>
      </c>
      <c r="D234" s="258">
        <v>174</v>
      </c>
      <c r="E234" s="258">
        <v>207</v>
      </c>
      <c r="F234" s="258">
        <v>271</v>
      </c>
      <c r="G234" s="258">
        <v>307</v>
      </c>
      <c r="H234" s="258">
        <v>330</v>
      </c>
      <c r="I234" s="258">
        <v>348</v>
      </c>
      <c r="J234" s="258">
        <v>537</v>
      </c>
      <c r="K234" s="258">
        <v>634</v>
      </c>
      <c r="L234" s="258">
        <v>701</v>
      </c>
      <c r="M234" s="258">
        <v>761</v>
      </c>
      <c r="N234" s="258">
        <v>768</v>
      </c>
      <c r="O234" s="258">
        <v>771</v>
      </c>
      <c r="P234" s="258">
        <v>927</v>
      </c>
      <c r="Q234" s="258">
        <v>902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04">
        <v>130</v>
      </c>
      <c r="D235" s="258">
        <v>212</v>
      </c>
      <c r="E235" s="258">
        <v>250</v>
      </c>
      <c r="F235" s="258">
        <v>318</v>
      </c>
      <c r="G235" s="258">
        <v>349</v>
      </c>
      <c r="H235" s="258">
        <v>505</v>
      </c>
      <c r="I235" s="258">
        <v>547</v>
      </c>
      <c r="J235" s="258">
        <v>625</v>
      </c>
      <c r="K235" s="258">
        <v>715</v>
      </c>
      <c r="L235" s="258">
        <v>720</v>
      </c>
      <c r="M235" s="258">
        <v>760</v>
      </c>
      <c r="N235" s="258">
        <v>677</v>
      </c>
      <c r="O235" s="258">
        <v>662</v>
      </c>
      <c r="P235" s="258">
        <v>557</v>
      </c>
      <c r="Q235" s="258">
        <v>493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190</v>
      </c>
      <c r="D236" s="259">
        <v>298</v>
      </c>
      <c r="E236" s="259">
        <v>351</v>
      </c>
      <c r="F236" s="259">
        <v>465</v>
      </c>
      <c r="G236" s="259">
        <v>516</v>
      </c>
      <c r="H236" s="259">
        <v>678</v>
      </c>
      <c r="I236" s="259">
        <v>732</v>
      </c>
      <c r="J236" s="259">
        <v>938</v>
      </c>
      <c r="K236" s="259">
        <v>1113</v>
      </c>
      <c r="L236" s="259">
        <v>1160</v>
      </c>
      <c r="M236" s="259">
        <v>1274</v>
      </c>
      <c r="N236" s="259">
        <v>1238</v>
      </c>
      <c r="O236" s="259">
        <v>1271</v>
      </c>
      <c r="P236" s="259">
        <v>1416</v>
      </c>
      <c r="Q236" s="259">
        <v>1409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11.2</v>
      </c>
      <c r="B237" s="298" t="s">
        <v>2</v>
      </c>
      <c r="C237" s="318">
        <v>58.6</v>
      </c>
      <c r="D237" s="262">
        <v>74.099999999999994</v>
      </c>
      <c r="E237" s="262">
        <v>89.9</v>
      </c>
      <c r="F237" s="237">
        <v>107</v>
      </c>
      <c r="G237" s="237">
        <v>117</v>
      </c>
      <c r="H237" s="237">
        <v>127</v>
      </c>
      <c r="I237" s="237">
        <v>133</v>
      </c>
      <c r="J237" s="237">
        <v>178</v>
      </c>
      <c r="K237" s="237">
        <v>191</v>
      </c>
      <c r="L237" s="237">
        <v>226</v>
      </c>
      <c r="M237" s="237">
        <v>201</v>
      </c>
      <c r="N237" s="85" t="s">
        <v>21</v>
      </c>
      <c r="O237" s="85" t="s">
        <v>21</v>
      </c>
      <c r="P237" s="85" t="s">
        <v>21</v>
      </c>
      <c r="Q237" s="85" t="s">
        <v>21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04">
        <v>121</v>
      </c>
      <c r="D238" s="258">
        <v>166</v>
      </c>
      <c r="E238" s="258">
        <v>200</v>
      </c>
      <c r="F238" s="258">
        <v>271</v>
      </c>
      <c r="G238" s="258">
        <v>296</v>
      </c>
      <c r="H238" s="258">
        <v>318</v>
      </c>
      <c r="I238" s="258">
        <v>339</v>
      </c>
      <c r="J238" s="258">
        <v>534</v>
      </c>
      <c r="K238" s="258">
        <v>620</v>
      </c>
      <c r="L238" s="258">
        <v>715</v>
      </c>
      <c r="M238" s="258">
        <v>760</v>
      </c>
      <c r="N238" s="258">
        <v>771</v>
      </c>
      <c r="O238" s="258">
        <v>794</v>
      </c>
      <c r="P238" s="258">
        <v>963</v>
      </c>
      <c r="Q238" s="258">
        <v>959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04">
        <v>123</v>
      </c>
      <c r="D239" s="258">
        <v>199</v>
      </c>
      <c r="E239" s="258">
        <v>237</v>
      </c>
      <c r="F239" s="258">
        <v>321</v>
      </c>
      <c r="G239" s="258">
        <v>338</v>
      </c>
      <c r="H239" s="258">
        <v>472</v>
      </c>
      <c r="I239" s="258">
        <v>531</v>
      </c>
      <c r="J239" s="258">
        <v>625</v>
      </c>
      <c r="K239" s="258">
        <v>697</v>
      </c>
      <c r="L239" s="258">
        <v>738</v>
      </c>
      <c r="M239" s="258">
        <v>763</v>
      </c>
      <c r="N239" s="258">
        <v>694</v>
      </c>
      <c r="O239" s="258">
        <v>694</v>
      </c>
      <c r="P239" s="258">
        <v>619</v>
      </c>
      <c r="Q239" s="258">
        <v>579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180</v>
      </c>
      <c r="D240" s="259">
        <v>281</v>
      </c>
      <c r="E240" s="259">
        <v>335</v>
      </c>
      <c r="F240" s="259">
        <v>466</v>
      </c>
      <c r="G240" s="259">
        <v>497</v>
      </c>
      <c r="H240" s="259">
        <v>637</v>
      </c>
      <c r="I240" s="259">
        <v>708</v>
      </c>
      <c r="J240" s="259">
        <v>934</v>
      </c>
      <c r="K240" s="259">
        <v>1056</v>
      </c>
      <c r="L240" s="259">
        <v>1173</v>
      </c>
      <c r="M240" s="259">
        <v>1249</v>
      </c>
      <c r="N240" s="259">
        <v>1214</v>
      </c>
      <c r="O240" s="259">
        <v>1260</v>
      </c>
      <c r="P240" s="259">
        <v>1417</v>
      </c>
      <c r="Q240" s="259">
        <v>1441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300">
        <v>12.5</v>
      </c>
      <c r="B241" s="298" t="s">
        <v>2</v>
      </c>
      <c r="C241" s="318">
        <v>58.6</v>
      </c>
      <c r="D241" s="262">
        <v>77.2</v>
      </c>
      <c r="E241" s="262">
        <v>85.7</v>
      </c>
      <c r="F241" s="237">
        <v>110</v>
      </c>
      <c r="G241" s="237">
        <v>115</v>
      </c>
      <c r="H241" s="237">
        <v>133</v>
      </c>
      <c r="I241" s="237">
        <v>133</v>
      </c>
      <c r="J241" s="237">
        <v>198</v>
      </c>
      <c r="K241" s="237">
        <v>200</v>
      </c>
      <c r="L241" s="237">
        <v>254</v>
      </c>
      <c r="M241" s="237">
        <v>234</v>
      </c>
      <c r="N241" s="237">
        <v>201</v>
      </c>
      <c r="O241" s="237">
        <v>179</v>
      </c>
      <c r="P241" s="85" t="s">
        <v>21</v>
      </c>
      <c r="Q241" s="85" t="s">
        <v>21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314"/>
      <c r="B242" s="296" t="s">
        <v>3</v>
      </c>
      <c r="C242" s="304">
        <v>117</v>
      </c>
      <c r="D242" s="258">
        <v>165</v>
      </c>
      <c r="E242" s="258">
        <v>188</v>
      </c>
      <c r="F242" s="258">
        <v>266</v>
      </c>
      <c r="G242" s="258">
        <v>284</v>
      </c>
      <c r="H242" s="258">
        <v>313</v>
      </c>
      <c r="I242" s="258">
        <v>329</v>
      </c>
      <c r="J242" s="258">
        <v>535</v>
      </c>
      <c r="K242" s="258">
        <v>597</v>
      </c>
      <c r="L242" s="258">
        <v>697</v>
      </c>
      <c r="M242" s="258">
        <v>755</v>
      </c>
      <c r="N242" s="258">
        <v>784</v>
      </c>
      <c r="O242" s="258">
        <v>795</v>
      </c>
      <c r="P242" s="258">
        <v>1022</v>
      </c>
      <c r="Q242" s="258">
        <v>997</v>
      </c>
      <c r="R242" s="146" t="s">
        <v>21</v>
      </c>
      <c r="S242" s="146" t="s">
        <v>21</v>
      </c>
      <c r="T242" s="146" t="s">
        <v>21</v>
      </c>
      <c r="U242" s="223" t="s">
        <v>21</v>
      </c>
    </row>
    <row r="243" spans="1:21" ht="9.3000000000000007" customHeight="1">
      <c r="A243" s="314"/>
      <c r="B243" s="296" t="s">
        <v>5</v>
      </c>
      <c r="C243" s="304">
        <v>121</v>
      </c>
      <c r="D243" s="258">
        <v>201</v>
      </c>
      <c r="E243" s="258">
        <v>219</v>
      </c>
      <c r="F243" s="258">
        <v>315</v>
      </c>
      <c r="G243" s="258">
        <v>325</v>
      </c>
      <c r="H243" s="258">
        <v>465</v>
      </c>
      <c r="I243" s="258">
        <v>510</v>
      </c>
      <c r="J243" s="258">
        <v>624</v>
      </c>
      <c r="K243" s="258">
        <v>672</v>
      </c>
      <c r="L243" s="258">
        <v>723</v>
      </c>
      <c r="M243" s="258">
        <v>762</v>
      </c>
      <c r="N243" s="258">
        <v>712</v>
      </c>
      <c r="O243" s="258">
        <v>710</v>
      </c>
      <c r="P243" s="258">
        <v>705</v>
      </c>
      <c r="Q243" s="258">
        <v>640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315"/>
      <c r="B244" s="297" t="s">
        <v>7</v>
      </c>
      <c r="C244" s="307">
        <v>174</v>
      </c>
      <c r="D244" s="259">
        <v>279</v>
      </c>
      <c r="E244" s="259">
        <v>310</v>
      </c>
      <c r="F244" s="259">
        <v>452</v>
      </c>
      <c r="G244" s="259">
        <v>475</v>
      </c>
      <c r="H244" s="259">
        <v>620</v>
      </c>
      <c r="I244" s="259">
        <v>677</v>
      </c>
      <c r="J244" s="259">
        <v>919</v>
      </c>
      <c r="K244" s="259">
        <v>1012</v>
      </c>
      <c r="L244" s="259">
        <v>1108</v>
      </c>
      <c r="M244" s="259">
        <v>1223</v>
      </c>
      <c r="N244" s="259">
        <v>1214</v>
      </c>
      <c r="O244" s="259">
        <v>1236</v>
      </c>
      <c r="P244" s="259">
        <v>1458</v>
      </c>
      <c r="Q244" s="259">
        <v>1441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300">
        <v>14</v>
      </c>
      <c r="B245" s="298" t="s">
        <v>2</v>
      </c>
      <c r="C245" s="318">
        <v>55.8</v>
      </c>
      <c r="D245" s="262">
        <v>73.5</v>
      </c>
      <c r="E245" s="262">
        <v>82.4</v>
      </c>
      <c r="F245" s="237">
        <v>104</v>
      </c>
      <c r="G245" s="237">
        <v>117</v>
      </c>
      <c r="H245" s="237">
        <v>132</v>
      </c>
      <c r="I245" s="237">
        <v>131</v>
      </c>
      <c r="J245" s="237">
        <v>196</v>
      </c>
      <c r="K245" s="237">
        <v>209</v>
      </c>
      <c r="L245" s="237">
        <v>257</v>
      </c>
      <c r="M245" s="237">
        <v>262</v>
      </c>
      <c r="N245" s="237">
        <v>239</v>
      </c>
      <c r="O245" s="85" t="s">
        <v>21</v>
      </c>
      <c r="P245" s="85" t="s">
        <v>21</v>
      </c>
      <c r="Q245" s="85" t="s">
        <v>21</v>
      </c>
      <c r="R245" s="85" t="s">
        <v>21</v>
      </c>
      <c r="S245" s="85" t="s">
        <v>21</v>
      </c>
      <c r="T245" s="85" t="s">
        <v>21</v>
      </c>
      <c r="U245" s="221" t="s">
        <v>21</v>
      </c>
    </row>
    <row r="246" spans="1:21" ht="9" customHeight="1">
      <c r="A246" s="314"/>
      <c r="B246" s="296" t="s">
        <v>3</v>
      </c>
      <c r="C246" s="304">
        <v>110</v>
      </c>
      <c r="D246" s="258">
        <v>156</v>
      </c>
      <c r="E246" s="258">
        <v>179</v>
      </c>
      <c r="F246" s="258">
        <v>245</v>
      </c>
      <c r="G246" s="258">
        <v>284</v>
      </c>
      <c r="H246" s="258">
        <v>303</v>
      </c>
      <c r="I246" s="258">
        <v>316</v>
      </c>
      <c r="J246" s="258">
        <v>507</v>
      </c>
      <c r="K246" s="258">
        <v>593</v>
      </c>
      <c r="L246" s="258">
        <v>665</v>
      </c>
      <c r="M246" s="258">
        <v>769</v>
      </c>
      <c r="N246" s="258">
        <v>771</v>
      </c>
      <c r="O246" s="258">
        <v>807</v>
      </c>
      <c r="P246" s="258">
        <v>1014</v>
      </c>
      <c r="Q246" s="258">
        <v>1052</v>
      </c>
      <c r="R246" s="146" t="s">
        <v>21</v>
      </c>
      <c r="S246" s="146" t="s">
        <v>21</v>
      </c>
      <c r="T246" s="146" t="s">
        <v>21</v>
      </c>
      <c r="U246" s="223" t="s">
        <v>21</v>
      </c>
    </row>
    <row r="247" spans="1:21" ht="9.3000000000000007" customHeight="1">
      <c r="A247" s="314"/>
      <c r="B247" s="296" t="s">
        <v>5</v>
      </c>
      <c r="C247" s="304">
        <v>113</v>
      </c>
      <c r="D247" s="258">
        <v>186</v>
      </c>
      <c r="E247" s="258">
        <v>205</v>
      </c>
      <c r="F247" s="258">
        <v>292</v>
      </c>
      <c r="G247" s="258">
        <v>327</v>
      </c>
      <c r="H247" s="258">
        <v>438</v>
      </c>
      <c r="I247" s="258">
        <v>476</v>
      </c>
      <c r="J247" s="258">
        <v>595</v>
      </c>
      <c r="K247" s="258">
        <v>671</v>
      </c>
      <c r="L247" s="258">
        <v>694</v>
      </c>
      <c r="M247" s="258">
        <v>780</v>
      </c>
      <c r="N247" s="258">
        <v>710</v>
      </c>
      <c r="O247" s="258">
        <v>728</v>
      </c>
      <c r="P247" s="258">
        <v>725</v>
      </c>
      <c r="Q247" s="258">
        <v>724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315"/>
      <c r="B248" s="297" t="s">
        <v>7</v>
      </c>
      <c r="C248" s="307">
        <v>163</v>
      </c>
      <c r="D248" s="259">
        <v>259</v>
      </c>
      <c r="E248" s="259">
        <v>292</v>
      </c>
      <c r="F248" s="259">
        <v>417</v>
      </c>
      <c r="G248" s="259">
        <v>476</v>
      </c>
      <c r="H248" s="259">
        <v>587</v>
      </c>
      <c r="I248" s="259">
        <v>636</v>
      </c>
      <c r="J248" s="259">
        <v>871</v>
      </c>
      <c r="K248" s="259">
        <v>1006</v>
      </c>
      <c r="L248" s="259">
        <v>1055</v>
      </c>
      <c r="M248" s="259">
        <v>1234</v>
      </c>
      <c r="N248" s="259">
        <v>1174</v>
      </c>
      <c r="O248" s="259">
        <v>1235</v>
      </c>
      <c r="P248" s="259">
        <v>1423</v>
      </c>
      <c r="Q248" s="259">
        <v>1481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300">
        <v>16</v>
      </c>
      <c r="B249" s="298" t="s">
        <v>2</v>
      </c>
      <c r="C249" s="318">
        <v>51.1</v>
      </c>
      <c r="D249" s="262">
        <v>69.400000000000006</v>
      </c>
      <c r="E249" s="262">
        <v>85.1</v>
      </c>
      <c r="F249" s="262">
        <v>98.7</v>
      </c>
      <c r="G249" s="237">
        <v>120</v>
      </c>
      <c r="H249" s="237">
        <v>126</v>
      </c>
      <c r="I249" s="237">
        <v>136</v>
      </c>
      <c r="J249" s="237">
        <v>188</v>
      </c>
      <c r="K249" s="237">
        <v>229</v>
      </c>
      <c r="L249" s="237">
        <v>250</v>
      </c>
      <c r="M249" s="237">
        <v>286</v>
      </c>
      <c r="N249" s="237">
        <v>289</v>
      </c>
      <c r="O249" s="237">
        <v>256</v>
      </c>
      <c r="P249" s="85" t="s">
        <v>21</v>
      </c>
      <c r="Q249" s="85" t="s">
        <v>21</v>
      </c>
      <c r="R249" s="85" t="s">
        <v>21</v>
      </c>
      <c r="S249" s="85" t="s">
        <v>21</v>
      </c>
      <c r="T249" s="85" t="s">
        <v>21</v>
      </c>
      <c r="U249" s="221" t="s">
        <v>21</v>
      </c>
    </row>
    <row r="250" spans="1:21" ht="9" customHeight="1">
      <c r="A250" s="314"/>
      <c r="B250" s="296" t="s">
        <v>3</v>
      </c>
      <c r="C250" s="304">
        <v>100</v>
      </c>
      <c r="D250" s="258">
        <v>146</v>
      </c>
      <c r="E250" s="258">
        <v>177</v>
      </c>
      <c r="F250" s="258">
        <v>229</v>
      </c>
      <c r="G250" s="258">
        <v>278</v>
      </c>
      <c r="H250" s="258">
        <v>286</v>
      </c>
      <c r="I250" s="258">
        <v>311</v>
      </c>
      <c r="J250" s="258">
        <v>476</v>
      </c>
      <c r="K250" s="258">
        <v>592</v>
      </c>
      <c r="L250" s="258">
        <v>615</v>
      </c>
      <c r="M250" s="258">
        <v>748</v>
      </c>
      <c r="N250" s="258">
        <v>778</v>
      </c>
      <c r="O250" s="258">
        <v>792</v>
      </c>
      <c r="P250" s="258">
        <v>999</v>
      </c>
      <c r="Q250" s="258">
        <v>1040</v>
      </c>
      <c r="R250" s="146" t="s">
        <v>21</v>
      </c>
      <c r="S250" s="146" t="s">
        <v>21</v>
      </c>
      <c r="T250" s="146" t="s">
        <v>21</v>
      </c>
      <c r="U250" s="223" t="s">
        <v>21</v>
      </c>
    </row>
    <row r="251" spans="1:21" ht="9.3000000000000007" customHeight="1">
      <c r="A251" s="314"/>
      <c r="B251" s="296" t="s">
        <v>5</v>
      </c>
      <c r="C251" s="304">
        <v>101</v>
      </c>
      <c r="D251" s="258">
        <v>170</v>
      </c>
      <c r="E251" s="258">
        <v>207</v>
      </c>
      <c r="F251" s="258">
        <v>272</v>
      </c>
      <c r="G251" s="258">
        <v>321</v>
      </c>
      <c r="H251" s="258">
        <v>402</v>
      </c>
      <c r="I251" s="258">
        <v>468</v>
      </c>
      <c r="J251" s="258">
        <v>563</v>
      </c>
      <c r="K251" s="258">
        <v>670</v>
      </c>
      <c r="L251" s="258">
        <v>646</v>
      </c>
      <c r="M251" s="258">
        <v>763</v>
      </c>
      <c r="N251" s="258">
        <v>725</v>
      </c>
      <c r="O251" s="258">
        <v>724</v>
      </c>
      <c r="P251" s="258">
        <v>738</v>
      </c>
      <c r="Q251" s="258">
        <v>742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315"/>
      <c r="B252" s="297" t="s">
        <v>7</v>
      </c>
      <c r="C252" s="307">
        <v>146</v>
      </c>
      <c r="D252" s="259">
        <v>238</v>
      </c>
      <c r="E252" s="259">
        <v>289</v>
      </c>
      <c r="F252" s="259">
        <v>388</v>
      </c>
      <c r="G252" s="259">
        <v>462</v>
      </c>
      <c r="H252" s="259">
        <v>541</v>
      </c>
      <c r="I252" s="259">
        <v>619</v>
      </c>
      <c r="J252" s="259">
        <v>819</v>
      </c>
      <c r="K252" s="259">
        <v>989</v>
      </c>
      <c r="L252" s="259">
        <v>973</v>
      </c>
      <c r="M252" s="259">
        <v>1164</v>
      </c>
      <c r="N252" s="259">
        <v>1162</v>
      </c>
      <c r="O252" s="259">
        <v>1194</v>
      </c>
      <c r="P252" s="259">
        <v>1386</v>
      </c>
      <c r="Q252" s="259">
        <v>1446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300">
        <v>18</v>
      </c>
      <c r="B253" s="298" t="s">
        <v>2</v>
      </c>
      <c r="C253" s="318">
        <v>48.9</v>
      </c>
      <c r="D253" s="262">
        <v>64.7</v>
      </c>
      <c r="E253" s="262">
        <v>81</v>
      </c>
      <c r="F253" s="262">
        <v>92.6</v>
      </c>
      <c r="G253" s="237">
        <v>112</v>
      </c>
      <c r="H253" s="237">
        <v>119</v>
      </c>
      <c r="I253" s="237">
        <v>134</v>
      </c>
      <c r="J253" s="237">
        <v>173</v>
      </c>
      <c r="K253" s="237">
        <v>225</v>
      </c>
      <c r="L253" s="237">
        <v>252</v>
      </c>
      <c r="M253" s="237">
        <v>288</v>
      </c>
      <c r="N253" s="237">
        <v>290</v>
      </c>
      <c r="O253" s="237">
        <v>304</v>
      </c>
      <c r="P253" s="237">
        <v>325</v>
      </c>
      <c r="Q253" s="237">
        <v>302</v>
      </c>
      <c r="R253" s="237">
        <v>387</v>
      </c>
      <c r="S253" s="85" t="s">
        <v>21</v>
      </c>
      <c r="T253" s="85" t="s">
        <v>21</v>
      </c>
      <c r="U253" s="221" t="s">
        <v>21</v>
      </c>
    </row>
    <row r="254" spans="1:21" ht="9" customHeight="1">
      <c r="A254" s="314"/>
      <c r="B254" s="296" t="s">
        <v>3</v>
      </c>
      <c r="C254" s="319">
        <v>95.4</v>
      </c>
      <c r="D254" s="258">
        <v>138</v>
      </c>
      <c r="E254" s="258">
        <v>167</v>
      </c>
      <c r="F254" s="258">
        <v>218</v>
      </c>
      <c r="G254" s="258">
        <v>256</v>
      </c>
      <c r="H254" s="258">
        <v>272</v>
      </c>
      <c r="I254" s="258">
        <v>301</v>
      </c>
      <c r="J254" s="258">
        <v>450</v>
      </c>
      <c r="K254" s="258">
        <v>560</v>
      </c>
      <c r="L254" s="258">
        <v>612</v>
      </c>
      <c r="M254" s="258">
        <v>713</v>
      </c>
      <c r="N254" s="258">
        <v>741</v>
      </c>
      <c r="O254" s="258">
        <v>799</v>
      </c>
      <c r="P254" s="258">
        <v>998</v>
      </c>
      <c r="Q254" s="258">
        <v>1024</v>
      </c>
      <c r="R254" s="146" t="s">
        <v>21</v>
      </c>
      <c r="S254" s="146" t="s">
        <v>21</v>
      </c>
      <c r="T254" s="146" t="s">
        <v>21</v>
      </c>
      <c r="U254" s="223" t="s">
        <v>21</v>
      </c>
    </row>
    <row r="255" spans="1:21" ht="9.3000000000000007" customHeight="1">
      <c r="A255" s="314"/>
      <c r="B255" s="296" t="s">
        <v>5</v>
      </c>
      <c r="C255" s="319">
        <v>94.1</v>
      </c>
      <c r="D255" s="258">
        <v>159</v>
      </c>
      <c r="E255" s="258">
        <v>191</v>
      </c>
      <c r="F255" s="258">
        <v>258</v>
      </c>
      <c r="G255" s="258">
        <v>298</v>
      </c>
      <c r="H255" s="258">
        <v>378</v>
      </c>
      <c r="I255" s="258">
        <v>441</v>
      </c>
      <c r="J255" s="258">
        <v>537</v>
      </c>
      <c r="K255" s="258">
        <v>638</v>
      </c>
      <c r="L255" s="258">
        <v>645</v>
      </c>
      <c r="M255" s="258">
        <v>731</v>
      </c>
      <c r="N255" s="258">
        <v>697</v>
      </c>
      <c r="O255" s="258">
        <v>739</v>
      </c>
      <c r="P255" s="258">
        <v>757</v>
      </c>
      <c r="Q255" s="258">
        <v>753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315"/>
      <c r="B256" s="297" t="s">
        <v>7</v>
      </c>
      <c r="C256" s="307">
        <v>137</v>
      </c>
      <c r="D256" s="259">
        <v>224</v>
      </c>
      <c r="E256" s="259">
        <v>269</v>
      </c>
      <c r="F256" s="259">
        <v>369</v>
      </c>
      <c r="G256" s="259">
        <v>426</v>
      </c>
      <c r="H256" s="259">
        <v>512</v>
      </c>
      <c r="I256" s="259">
        <v>585</v>
      </c>
      <c r="J256" s="259">
        <v>782</v>
      </c>
      <c r="K256" s="259">
        <v>936</v>
      </c>
      <c r="L256" s="259">
        <v>971</v>
      </c>
      <c r="M256" s="259">
        <v>1108</v>
      </c>
      <c r="N256" s="259">
        <v>1100</v>
      </c>
      <c r="O256" s="259">
        <v>1182</v>
      </c>
      <c r="P256" s="259">
        <v>1371</v>
      </c>
      <c r="Q256" s="259">
        <v>1406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300">
        <v>20</v>
      </c>
      <c r="B257" s="298" t="s">
        <v>2</v>
      </c>
      <c r="C257" s="318">
        <v>48.5</v>
      </c>
      <c r="D257" s="262">
        <v>61</v>
      </c>
      <c r="E257" s="262">
        <v>76.3</v>
      </c>
      <c r="F257" s="262">
        <v>87.2</v>
      </c>
      <c r="G257" s="237">
        <v>106</v>
      </c>
      <c r="H257" s="237">
        <v>117</v>
      </c>
      <c r="I257" s="237">
        <v>129</v>
      </c>
      <c r="J257" s="237">
        <v>170</v>
      </c>
      <c r="K257" s="237">
        <v>216</v>
      </c>
      <c r="L257" s="237">
        <v>241</v>
      </c>
      <c r="M257" s="237">
        <v>277</v>
      </c>
      <c r="N257" s="237">
        <v>302</v>
      </c>
      <c r="O257" s="237">
        <v>305</v>
      </c>
      <c r="P257" s="237">
        <v>335</v>
      </c>
      <c r="Q257" s="237">
        <v>354</v>
      </c>
      <c r="R257" s="237">
        <v>428</v>
      </c>
      <c r="S257" s="237">
        <v>413</v>
      </c>
      <c r="T257" s="85" t="s">
        <v>21</v>
      </c>
      <c r="U257" s="221" t="s">
        <v>21</v>
      </c>
    </row>
    <row r="258" spans="1:21" ht="9" customHeight="1">
      <c r="A258" s="314"/>
      <c r="B258" s="296" t="s">
        <v>3</v>
      </c>
      <c r="C258" s="319">
        <v>93.9</v>
      </c>
      <c r="D258" s="258">
        <v>129</v>
      </c>
      <c r="E258" s="258">
        <v>156</v>
      </c>
      <c r="F258" s="258">
        <v>203</v>
      </c>
      <c r="G258" s="258">
        <v>240</v>
      </c>
      <c r="H258" s="258">
        <v>264</v>
      </c>
      <c r="I258" s="258">
        <v>284</v>
      </c>
      <c r="J258" s="258">
        <v>434</v>
      </c>
      <c r="K258" s="258">
        <v>525</v>
      </c>
      <c r="L258" s="258">
        <v>573</v>
      </c>
      <c r="M258" s="258">
        <v>657</v>
      </c>
      <c r="N258" s="258">
        <v>724</v>
      </c>
      <c r="O258" s="258">
        <v>761</v>
      </c>
      <c r="P258" s="258">
        <v>980</v>
      </c>
      <c r="Q258" s="258">
        <v>1027</v>
      </c>
      <c r="R258" s="146" t="s">
        <v>21</v>
      </c>
      <c r="S258" s="146" t="s">
        <v>21</v>
      </c>
      <c r="T258" s="146" t="s">
        <v>21</v>
      </c>
      <c r="U258" s="223" t="s">
        <v>21</v>
      </c>
    </row>
    <row r="259" spans="1:21" ht="9.3000000000000007" customHeight="1">
      <c r="A259" s="314"/>
      <c r="B259" s="296" t="s">
        <v>5</v>
      </c>
      <c r="C259" s="319">
        <v>91.4</v>
      </c>
      <c r="D259" s="258">
        <v>146</v>
      </c>
      <c r="E259" s="258">
        <v>175</v>
      </c>
      <c r="F259" s="258">
        <v>235</v>
      </c>
      <c r="G259" s="258">
        <v>277</v>
      </c>
      <c r="H259" s="258">
        <v>362</v>
      </c>
      <c r="I259" s="258">
        <v>406</v>
      </c>
      <c r="J259" s="258">
        <v>522</v>
      </c>
      <c r="K259" s="258">
        <v>602</v>
      </c>
      <c r="L259" s="258">
        <v>609</v>
      </c>
      <c r="M259" s="258">
        <v>678</v>
      </c>
      <c r="N259" s="258">
        <v>688</v>
      </c>
      <c r="O259" s="258">
        <v>710</v>
      </c>
      <c r="P259" s="258">
        <v>750</v>
      </c>
      <c r="Q259" s="258">
        <v>777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315"/>
      <c r="B260" s="297" t="s">
        <v>7</v>
      </c>
      <c r="C260" s="307">
        <v>133</v>
      </c>
      <c r="D260" s="259">
        <v>206</v>
      </c>
      <c r="E260" s="259">
        <v>247</v>
      </c>
      <c r="F260" s="259">
        <v>338</v>
      </c>
      <c r="G260" s="259">
        <v>396</v>
      </c>
      <c r="H260" s="259">
        <v>491</v>
      </c>
      <c r="I260" s="259">
        <v>540</v>
      </c>
      <c r="J260" s="259">
        <v>756</v>
      </c>
      <c r="K260" s="259">
        <v>878</v>
      </c>
      <c r="L260" s="259">
        <v>909</v>
      </c>
      <c r="M260" s="259">
        <v>1020</v>
      </c>
      <c r="N260" s="259">
        <v>1065</v>
      </c>
      <c r="O260" s="259">
        <v>1119</v>
      </c>
      <c r="P260" s="259">
        <v>1341</v>
      </c>
      <c r="Q260" s="259">
        <v>1393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300">
        <v>22.4</v>
      </c>
      <c r="B261" s="298" t="s">
        <v>2</v>
      </c>
      <c r="C261" s="318">
        <v>45.2</v>
      </c>
      <c r="D261" s="262">
        <v>57</v>
      </c>
      <c r="E261" s="262">
        <v>71.099999999999994</v>
      </c>
      <c r="F261" s="262">
        <v>84.5</v>
      </c>
      <c r="G261" s="237">
        <v>100</v>
      </c>
      <c r="H261" s="237">
        <v>110</v>
      </c>
      <c r="I261" s="237">
        <v>122</v>
      </c>
      <c r="J261" s="237">
        <v>161</v>
      </c>
      <c r="K261" s="237">
        <v>199</v>
      </c>
      <c r="L261" s="85" t="s">
        <v>1</v>
      </c>
      <c r="M261" s="237">
        <v>280</v>
      </c>
      <c r="N261" s="85" t="s">
        <v>1</v>
      </c>
      <c r="O261" s="237">
        <v>316</v>
      </c>
      <c r="P261" s="85" t="s">
        <v>1</v>
      </c>
      <c r="Q261" s="237">
        <v>361</v>
      </c>
      <c r="R261" s="85" t="s">
        <v>1</v>
      </c>
      <c r="S261" s="237">
        <v>452</v>
      </c>
      <c r="T261" s="85" t="s">
        <v>1</v>
      </c>
      <c r="U261" s="316">
        <v>460</v>
      </c>
    </row>
    <row r="262" spans="1:21" ht="9" customHeight="1">
      <c r="A262" s="314"/>
      <c r="B262" s="296" t="s">
        <v>3</v>
      </c>
      <c r="C262" s="319">
        <v>86.9</v>
      </c>
      <c r="D262" s="258">
        <v>119</v>
      </c>
      <c r="E262" s="258">
        <v>148</v>
      </c>
      <c r="F262" s="258">
        <v>196</v>
      </c>
      <c r="G262" s="258">
        <v>228</v>
      </c>
      <c r="H262" s="258">
        <v>246</v>
      </c>
      <c r="I262" s="258">
        <v>270</v>
      </c>
      <c r="J262" s="258">
        <v>404</v>
      </c>
      <c r="K262" s="258">
        <v>496</v>
      </c>
      <c r="L262" s="146" t="s">
        <v>1</v>
      </c>
      <c r="M262" s="258">
        <v>654</v>
      </c>
      <c r="N262" s="146" t="s">
        <v>1</v>
      </c>
      <c r="O262" s="258">
        <v>742</v>
      </c>
      <c r="P262" s="146" t="s">
        <v>1</v>
      </c>
      <c r="Q262" s="258">
        <v>1007</v>
      </c>
      <c r="R262" s="146" t="s">
        <v>1</v>
      </c>
      <c r="S262" s="146" t="s">
        <v>21</v>
      </c>
      <c r="T262" s="146" t="s">
        <v>1</v>
      </c>
      <c r="U262" s="223" t="s">
        <v>21</v>
      </c>
    </row>
    <row r="263" spans="1:21" ht="9.3000000000000007" customHeight="1">
      <c r="A263" s="314"/>
      <c r="B263" s="296" t="s">
        <v>5</v>
      </c>
      <c r="C263" s="319">
        <v>83.1</v>
      </c>
      <c r="D263" s="258">
        <v>132</v>
      </c>
      <c r="E263" s="258">
        <v>164</v>
      </c>
      <c r="F263" s="258">
        <v>224</v>
      </c>
      <c r="G263" s="258">
        <v>262</v>
      </c>
      <c r="H263" s="258">
        <v>328</v>
      </c>
      <c r="I263" s="258">
        <v>382</v>
      </c>
      <c r="J263" s="258">
        <v>478</v>
      </c>
      <c r="K263" s="258">
        <v>575</v>
      </c>
      <c r="L263" s="146" t="s">
        <v>1</v>
      </c>
      <c r="M263" s="258">
        <v>678</v>
      </c>
      <c r="N263" s="146" t="s">
        <v>1</v>
      </c>
      <c r="O263" s="258">
        <v>700</v>
      </c>
      <c r="P263" s="146" t="s">
        <v>1</v>
      </c>
      <c r="Q263" s="258">
        <v>769</v>
      </c>
      <c r="R263" s="146" t="s">
        <v>1</v>
      </c>
      <c r="S263" s="146" t="s">
        <v>21</v>
      </c>
      <c r="T263" s="146" t="s">
        <v>1</v>
      </c>
      <c r="U263" s="223" t="s">
        <v>21</v>
      </c>
    </row>
    <row r="264" spans="1:21" ht="10.95" customHeight="1">
      <c r="A264" s="315"/>
      <c r="B264" s="297" t="s">
        <v>7</v>
      </c>
      <c r="C264" s="307">
        <v>122</v>
      </c>
      <c r="D264" s="259">
        <v>188</v>
      </c>
      <c r="E264" s="259">
        <v>233</v>
      </c>
      <c r="F264" s="259">
        <v>323</v>
      </c>
      <c r="G264" s="259">
        <v>377</v>
      </c>
      <c r="H264" s="259">
        <v>447</v>
      </c>
      <c r="I264" s="259">
        <v>511</v>
      </c>
      <c r="J264" s="259">
        <v>693</v>
      </c>
      <c r="K264" s="259">
        <v>839</v>
      </c>
      <c r="L264" s="149" t="s">
        <v>1</v>
      </c>
      <c r="M264" s="259">
        <v>1018</v>
      </c>
      <c r="N264" s="149" t="s">
        <v>1</v>
      </c>
      <c r="O264" s="259">
        <v>1082</v>
      </c>
      <c r="P264" s="149" t="s">
        <v>1</v>
      </c>
      <c r="Q264" s="259">
        <v>1362</v>
      </c>
      <c r="R264" s="149" t="s">
        <v>1</v>
      </c>
      <c r="S264" s="149" t="s">
        <v>21</v>
      </c>
      <c r="T264" s="149" t="s">
        <v>1</v>
      </c>
      <c r="U264" s="225" t="s">
        <v>21</v>
      </c>
    </row>
    <row r="265" spans="1:21" ht="10.199999999999999" customHeight="1">
      <c r="A265" s="300">
        <v>25</v>
      </c>
      <c r="B265" s="298" t="s">
        <v>2</v>
      </c>
      <c r="C265" s="153" t="s">
        <v>1</v>
      </c>
      <c r="D265" s="85" t="s">
        <v>1</v>
      </c>
      <c r="E265" s="262">
        <v>66.900000000000006</v>
      </c>
      <c r="F265" s="85" t="s">
        <v>1</v>
      </c>
      <c r="G265" s="262">
        <v>94.2</v>
      </c>
      <c r="H265" s="85" t="s">
        <v>1</v>
      </c>
      <c r="I265" s="237">
        <v>119</v>
      </c>
      <c r="J265" s="85" t="s">
        <v>1</v>
      </c>
      <c r="K265" s="237">
        <v>195</v>
      </c>
      <c r="L265" s="85" t="s">
        <v>1</v>
      </c>
      <c r="M265" s="237">
        <v>266</v>
      </c>
      <c r="N265" s="85" t="s">
        <v>1</v>
      </c>
      <c r="O265" s="85" t="s">
        <v>1</v>
      </c>
      <c r="P265" s="85" t="s">
        <v>1</v>
      </c>
      <c r="Q265" s="85" t="s">
        <v>1</v>
      </c>
      <c r="R265" s="85" t="s">
        <v>1</v>
      </c>
      <c r="S265" s="85" t="s">
        <v>1</v>
      </c>
      <c r="T265" s="85" t="s">
        <v>1</v>
      </c>
      <c r="U265" s="221" t="s">
        <v>1</v>
      </c>
    </row>
    <row r="266" spans="1:21" ht="9" customHeight="1">
      <c r="A266" s="314"/>
      <c r="B266" s="296" t="s">
        <v>3</v>
      </c>
      <c r="C266" s="154" t="s">
        <v>1</v>
      </c>
      <c r="D266" s="146" t="s">
        <v>1</v>
      </c>
      <c r="E266" s="258">
        <v>138</v>
      </c>
      <c r="F266" s="146" t="s">
        <v>1</v>
      </c>
      <c r="G266" s="258">
        <v>212</v>
      </c>
      <c r="H266" s="146" t="s">
        <v>1</v>
      </c>
      <c r="I266" s="258">
        <v>262</v>
      </c>
      <c r="J266" s="146" t="s">
        <v>1</v>
      </c>
      <c r="K266" s="258">
        <v>478</v>
      </c>
      <c r="L266" s="146" t="s">
        <v>1</v>
      </c>
      <c r="M266" s="258">
        <v>611</v>
      </c>
      <c r="N266" s="146" t="s">
        <v>1</v>
      </c>
      <c r="O266" s="146" t="s">
        <v>1</v>
      </c>
      <c r="P266" s="146" t="s">
        <v>1</v>
      </c>
      <c r="Q266" s="146" t="s">
        <v>1</v>
      </c>
      <c r="R266" s="146" t="s">
        <v>1</v>
      </c>
      <c r="S266" s="146" t="s">
        <v>1</v>
      </c>
      <c r="T266" s="146" t="s">
        <v>1</v>
      </c>
      <c r="U266" s="223" t="s">
        <v>1</v>
      </c>
    </row>
    <row r="267" spans="1:21" ht="9.3000000000000007" customHeight="1">
      <c r="A267" s="314"/>
      <c r="B267" s="296" t="s">
        <v>5</v>
      </c>
      <c r="C267" s="154" t="s">
        <v>1</v>
      </c>
      <c r="D267" s="146" t="s">
        <v>1</v>
      </c>
      <c r="E267" s="258">
        <v>150</v>
      </c>
      <c r="F267" s="146" t="s">
        <v>1</v>
      </c>
      <c r="G267" s="258">
        <v>239</v>
      </c>
      <c r="H267" s="146" t="s">
        <v>1</v>
      </c>
      <c r="I267" s="258">
        <v>365</v>
      </c>
      <c r="J267" s="146" t="s">
        <v>1</v>
      </c>
      <c r="K267" s="258">
        <v>558</v>
      </c>
      <c r="L267" s="146" t="s">
        <v>1</v>
      </c>
      <c r="M267" s="258">
        <v>638</v>
      </c>
      <c r="N267" s="146" t="s">
        <v>1</v>
      </c>
      <c r="O267" s="146" t="s">
        <v>1</v>
      </c>
      <c r="P267" s="146" t="s">
        <v>1</v>
      </c>
      <c r="Q267" s="146" t="s">
        <v>1</v>
      </c>
      <c r="R267" s="146" t="s">
        <v>1</v>
      </c>
      <c r="S267" s="146" t="s">
        <v>1</v>
      </c>
      <c r="T267" s="146" t="s">
        <v>1</v>
      </c>
      <c r="U267" s="223" t="s">
        <v>1</v>
      </c>
    </row>
    <row r="268" spans="1:21" ht="10.95" customHeight="1">
      <c r="A268" s="315"/>
      <c r="B268" s="297" t="s">
        <v>7</v>
      </c>
      <c r="C268" s="155" t="s">
        <v>1</v>
      </c>
      <c r="D268" s="149" t="s">
        <v>1</v>
      </c>
      <c r="E268" s="259">
        <v>214</v>
      </c>
      <c r="F268" s="149" t="s">
        <v>1</v>
      </c>
      <c r="G268" s="259">
        <v>345</v>
      </c>
      <c r="H268" s="149" t="s">
        <v>1</v>
      </c>
      <c r="I268" s="259">
        <v>490</v>
      </c>
      <c r="J268" s="149" t="s">
        <v>1</v>
      </c>
      <c r="K268" s="259">
        <v>810</v>
      </c>
      <c r="L268" s="149" t="s">
        <v>1</v>
      </c>
      <c r="M268" s="259">
        <v>952</v>
      </c>
      <c r="N268" s="149" t="s">
        <v>1</v>
      </c>
      <c r="O268" s="149" t="s">
        <v>1</v>
      </c>
      <c r="P268" s="149" t="s">
        <v>1</v>
      </c>
      <c r="Q268" s="149" t="s">
        <v>1</v>
      </c>
      <c r="R268" s="149" t="s">
        <v>1</v>
      </c>
      <c r="S268" s="149" t="s">
        <v>1</v>
      </c>
      <c r="T268" s="149" t="s">
        <v>1</v>
      </c>
      <c r="U268" s="225" t="s">
        <v>1</v>
      </c>
    </row>
    <row r="269" spans="1:21" ht="10.199999999999999" customHeight="1">
      <c r="A269" s="300">
        <v>28</v>
      </c>
      <c r="B269" s="298" t="s">
        <v>2</v>
      </c>
      <c r="C269" s="153" t="s">
        <v>1</v>
      </c>
      <c r="D269" s="85" t="s">
        <v>1</v>
      </c>
      <c r="E269" s="262">
        <v>62.5</v>
      </c>
      <c r="F269" s="85" t="s">
        <v>1</v>
      </c>
      <c r="G269" s="262">
        <v>91.4</v>
      </c>
      <c r="H269" s="85" t="s">
        <v>1</v>
      </c>
      <c r="I269" s="237">
        <v>112</v>
      </c>
      <c r="J269" s="85" t="s">
        <v>1</v>
      </c>
      <c r="K269" s="237">
        <v>183</v>
      </c>
      <c r="L269" s="85" t="s">
        <v>1</v>
      </c>
      <c r="M269" s="85" t="s">
        <v>1</v>
      </c>
      <c r="N269" s="85" t="s">
        <v>1</v>
      </c>
      <c r="O269" s="85" t="s">
        <v>1</v>
      </c>
      <c r="P269" s="85" t="s">
        <v>1</v>
      </c>
      <c r="Q269" s="85" t="s">
        <v>1</v>
      </c>
      <c r="R269" s="85" t="s">
        <v>1</v>
      </c>
      <c r="S269" s="85" t="s">
        <v>1</v>
      </c>
      <c r="T269" s="85" t="s">
        <v>1</v>
      </c>
      <c r="U269" s="221" t="s">
        <v>1</v>
      </c>
    </row>
    <row r="270" spans="1:21" ht="9" customHeight="1">
      <c r="A270" s="314"/>
      <c r="B270" s="296" t="s">
        <v>3</v>
      </c>
      <c r="C270" s="154" t="s">
        <v>1</v>
      </c>
      <c r="D270" s="146" t="s">
        <v>1</v>
      </c>
      <c r="E270" s="258">
        <v>128</v>
      </c>
      <c r="F270" s="146" t="s">
        <v>1</v>
      </c>
      <c r="G270" s="258">
        <v>205</v>
      </c>
      <c r="H270" s="146" t="s">
        <v>1</v>
      </c>
      <c r="I270" s="258">
        <v>244</v>
      </c>
      <c r="J270" s="146" t="s">
        <v>1</v>
      </c>
      <c r="K270" s="258">
        <v>445</v>
      </c>
      <c r="L270" s="146" t="s">
        <v>1</v>
      </c>
      <c r="M270" s="146" t="s">
        <v>1</v>
      </c>
      <c r="N270" s="146" t="s">
        <v>1</v>
      </c>
      <c r="O270" s="146" t="s">
        <v>1</v>
      </c>
      <c r="P270" s="146" t="s">
        <v>1</v>
      </c>
      <c r="Q270" s="146" t="s">
        <v>1</v>
      </c>
      <c r="R270" s="146" t="s">
        <v>1</v>
      </c>
      <c r="S270" s="146" t="s">
        <v>1</v>
      </c>
      <c r="T270" s="146" t="s">
        <v>1</v>
      </c>
      <c r="U270" s="223" t="s">
        <v>1</v>
      </c>
    </row>
    <row r="271" spans="1:21" ht="9.3000000000000007" customHeight="1">
      <c r="A271" s="296"/>
      <c r="B271" s="296" t="s">
        <v>5</v>
      </c>
      <c r="C271" s="154" t="s">
        <v>1</v>
      </c>
      <c r="D271" s="146" t="s">
        <v>1</v>
      </c>
      <c r="E271" s="258">
        <v>136</v>
      </c>
      <c r="F271" s="146" t="s">
        <v>1</v>
      </c>
      <c r="G271" s="258">
        <v>229</v>
      </c>
      <c r="H271" s="146" t="s">
        <v>1</v>
      </c>
      <c r="I271" s="258">
        <v>332</v>
      </c>
      <c r="J271" s="146" t="s">
        <v>1</v>
      </c>
      <c r="K271" s="258">
        <v>523</v>
      </c>
      <c r="L271" s="146" t="s">
        <v>1</v>
      </c>
      <c r="M271" s="146" t="s">
        <v>1</v>
      </c>
      <c r="N271" s="146" t="s">
        <v>1</v>
      </c>
      <c r="O271" s="146" t="s">
        <v>1</v>
      </c>
      <c r="P271" s="146" t="s">
        <v>1</v>
      </c>
      <c r="Q271" s="146" t="s">
        <v>1</v>
      </c>
      <c r="R271" s="146" t="s">
        <v>1</v>
      </c>
      <c r="S271" s="146" t="s">
        <v>1</v>
      </c>
      <c r="T271" s="146" t="s">
        <v>1</v>
      </c>
      <c r="U271" s="223" t="s">
        <v>1</v>
      </c>
    </row>
    <row r="272" spans="1:21" ht="10.8" customHeight="1">
      <c r="A272" s="387"/>
      <c r="B272" s="387" t="s">
        <v>7</v>
      </c>
      <c r="C272" s="378" t="s">
        <v>1</v>
      </c>
      <c r="D272" s="379" t="s">
        <v>1</v>
      </c>
      <c r="E272" s="371">
        <v>196</v>
      </c>
      <c r="F272" s="379" t="s">
        <v>1</v>
      </c>
      <c r="G272" s="371">
        <v>331</v>
      </c>
      <c r="H272" s="379" t="s">
        <v>1</v>
      </c>
      <c r="I272" s="371">
        <v>447</v>
      </c>
      <c r="J272" s="379" t="s">
        <v>1</v>
      </c>
      <c r="K272" s="371">
        <v>755</v>
      </c>
      <c r="L272" s="379" t="s">
        <v>1</v>
      </c>
      <c r="M272" s="379" t="s">
        <v>1</v>
      </c>
      <c r="N272" s="379" t="s">
        <v>1</v>
      </c>
      <c r="O272" s="379" t="s">
        <v>1</v>
      </c>
      <c r="P272" s="379" t="s">
        <v>1</v>
      </c>
      <c r="Q272" s="379" t="s">
        <v>1</v>
      </c>
      <c r="R272" s="379" t="s">
        <v>1</v>
      </c>
      <c r="S272" s="379" t="s">
        <v>1</v>
      </c>
      <c r="T272" s="379" t="s">
        <v>1</v>
      </c>
      <c r="U272" s="380" t="s">
        <v>1</v>
      </c>
    </row>
    <row r="273" spans="1:21" ht="10.8" customHeight="1">
      <c r="A273" s="296"/>
      <c r="B273" s="296"/>
      <c r="C273" s="428"/>
      <c r="D273" s="428"/>
      <c r="E273" s="429"/>
      <c r="F273" s="428"/>
      <c r="G273" s="429"/>
      <c r="H273" s="428"/>
      <c r="I273" s="429"/>
      <c r="J273" s="428"/>
      <c r="K273" s="429"/>
      <c r="L273" s="428"/>
      <c r="M273" s="428"/>
      <c r="N273" s="428"/>
      <c r="O273" s="428"/>
      <c r="P273" s="428"/>
      <c r="Q273" s="428"/>
      <c r="R273" s="428"/>
      <c r="S273" s="428"/>
      <c r="T273" s="428"/>
      <c r="U273" s="428"/>
    </row>
    <row r="274" spans="1:21" ht="10.8" customHeight="1">
      <c r="A274" s="296"/>
      <c r="B274" s="296"/>
      <c r="C274" s="428"/>
      <c r="D274" s="428"/>
      <c r="E274" s="429"/>
      <c r="F274" s="428"/>
      <c r="G274" s="429"/>
      <c r="H274" s="428"/>
      <c r="I274" s="429"/>
      <c r="J274" s="428"/>
      <c r="K274" s="429"/>
      <c r="L274" s="428"/>
      <c r="M274" s="428"/>
      <c r="N274" s="428"/>
      <c r="O274" s="428"/>
      <c r="P274" s="428"/>
      <c r="Q274" s="428"/>
      <c r="R274" s="428"/>
      <c r="S274" s="428"/>
      <c r="T274" s="428"/>
      <c r="U274" s="428"/>
    </row>
    <row r="275" spans="1:21" ht="10.8" customHeight="1">
      <c r="A275" s="296"/>
      <c r="B275" s="296"/>
      <c r="C275" s="428"/>
      <c r="D275" s="428"/>
      <c r="E275" s="429"/>
      <c r="F275" s="428"/>
      <c r="G275" s="429"/>
      <c r="H275" s="428"/>
      <c r="I275" s="429"/>
      <c r="J275" s="428"/>
      <c r="K275" s="429"/>
      <c r="L275" s="428"/>
      <c r="M275" s="428"/>
      <c r="N275" s="428"/>
      <c r="O275" s="428"/>
      <c r="P275" s="428"/>
      <c r="Q275" s="428"/>
      <c r="R275" s="428"/>
      <c r="S275" s="428"/>
      <c r="T275" s="428"/>
      <c r="U275" s="428"/>
    </row>
    <row r="276" spans="1:21" ht="10.8" customHeight="1">
      <c r="A276" s="296"/>
      <c r="B276" s="296"/>
      <c r="C276" s="428"/>
      <c r="D276" s="428"/>
      <c r="E276" s="429"/>
      <c r="F276" s="428"/>
      <c r="G276" s="429"/>
      <c r="H276" s="428"/>
      <c r="I276" s="429"/>
      <c r="J276" s="428"/>
      <c r="K276" s="429"/>
      <c r="L276" s="428"/>
      <c r="M276" s="428"/>
      <c r="N276" s="428"/>
      <c r="O276" s="428"/>
      <c r="P276" s="428"/>
      <c r="Q276" s="428"/>
      <c r="R276" s="428"/>
      <c r="S276" s="428"/>
      <c r="T276" s="428"/>
      <c r="U276" s="428"/>
    </row>
    <row r="277" spans="1:21" ht="10.8" customHeight="1">
      <c r="A277" s="296"/>
      <c r="B277" s="296"/>
      <c r="C277" s="428"/>
      <c r="D277" s="428"/>
      <c r="E277" s="429"/>
      <c r="F277" s="428"/>
      <c r="G277" s="429"/>
      <c r="H277" s="428"/>
      <c r="I277" s="429"/>
      <c r="J277" s="428"/>
      <c r="K277" s="429"/>
      <c r="L277" s="428"/>
      <c r="M277" s="428"/>
      <c r="N277" s="428"/>
      <c r="O277" s="428"/>
      <c r="P277" s="428"/>
      <c r="Q277" s="428"/>
      <c r="R277" s="428"/>
      <c r="S277" s="428"/>
      <c r="T277" s="428"/>
      <c r="U277" s="428"/>
    </row>
    <row r="278" spans="1:21" ht="10.8" customHeight="1">
      <c r="A278" s="296"/>
      <c r="B278" s="296"/>
      <c r="C278" s="428"/>
      <c r="D278" s="428"/>
      <c r="E278" s="429"/>
      <c r="F278" s="428"/>
      <c r="G278" s="429"/>
      <c r="H278" s="428"/>
      <c r="I278" s="429"/>
      <c r="J278" s="428"/>
      <c r="K278" s="429"/>
      <c r="L278" s="428"/>
      <c r="M278" s="428"/>
      <c r="N278" s="428"/>
      <c r="O278" s="428"/>
      <c r="P278" s="428"/>
      <c r="Q278" s="428"/>
      <c r="R278" s="428"/>
      <c r="S278" s="428"/>
      <c r="T278" s="428"/>
      <c r="U278" s="428"/>
    </row>
    <row r="279" spans="1:21" ht="10.8" customHeight="1">
      <c r="A279" s="296"/>
      <c r="B279" s="296"/>
      <c r="C279" s="428"/>
      <c r="D279" s="428"/>
      <c r="E279" s="429"/>
      <c r="F279" s="428"/>
      <c r="G279" s="429"/>
      <c r="H279" s="428"/>
      <c r="I279" s="429"/>
      <c r="J279" s="428"/>
      <c r="K279" s="429"/>
      <c r="L279" s="428"/>
      <c r="M279" s="428"/>
      <c r="N279" s="428"/>
      <c r="O279" s="428"/>
      <c r="P279" s="428"/>
      <c r="Q279" s="428"/>
      <c r="R279" s="428"/>
      <c r="S279" s="428"/>
      <c r="T279" s="428"/>
      <c r="U279" s="428"/>
    </row>
    <row r="280" spans="1:21" ht="10.8" customHeight="1">
      <c r="A280" s="296"/>
      <c r="B280" s="296"/>
      <c r="C280" s="428"/>
      <c r="D280" s="428"/>
      <c r="E280" s="429"/>
      <c r="F280" s="428"/>
      <c r="G280" s="429"/>
      <c r="H280" s="428"/>
      <c r="I280" s="429"/>
      <c r="J280" s="428"/>
      <c r="K280" s="429"/>
      <c r="L280" s="428"/>
      <c r="M280" s="428"/>
      <c r="N280" s="428"/>
      <c r="O280" s="428"/>
      <c r="P280" s="428"/>
      <c r="Q280" s="428"/>
      <c r="R280" s="428"/>
      <c r="S280" s="428"/>
      <c r="T280" s="428"/>
      <c r="U280" s="428"/>
    </row>
    <row r="281" spans="1:21" ht="10.8" customHeight="1">
      <c r="A281" s="296"/>
      <c r="B281" s="296"/>
      <c r="C281" s="428"/>
      <c r="D281" s="428"/>
      <c r="E281" s="429"/>
      <c r="F281" s="428"/>
      <c r="G281" s="429"/>
      <c r="H281" s="428"/>
      <c r="I281" s="429"/>
      <c r="J281" s="428"/>
      <c r="K281" s="429"/>
      <c r="L281" s="428"/>
      <c r="M281" s="428"/>
      <c r="N281" s="428"/>
      <c r="O281" s="428"/>
      <c r="P281" s="428"/>
      <c r="Q281" s="428"/>
      <c r="R281" s="428"/>
      <c r="S281" s="428"/>
      <c r="T281" s="428"/>
      <c r="U281" s="428"/>
    </row>
    <row r="282" spans="1:21" ht="10.8" customHeight="1">
      <c r="A282" s="296"/>
      <c r="B282" s="296"/>
      <c r="C282" s="428"/>
      <c r="D282" s="428"/>
      <c r="E282" s="429"/>
      <c r="F282" s="428"/>
      <c r="G282" s="429"/>
      <c r="H282" s="428"/>
      <c r="I282" s="429"/>
      <c r="J282" s="428"/>
      <c r="K282" s="429"/>
      <c r="L282" s="428"/>
      <c r="M282" s="428"/>
      <c r="N282" s="428"/>
      <c r="O282" s="428"/>
      <c r="P282" s="428"/>
      <c r="Q282" s="428"/>
      <c r="R282" s="428"/>
      <c r="S282" s="428"/>
      <c r="T282" s="428"/>
      <c r="U282" s="428"/>
    </row>
    <row r="283" spans="1:21" ht="10.8" customHeight="1">
      <c r="A283" s="296"/>
      <c r="B283" s="296"/>
      <c r="C283" s="428"/>
      <c r="D283" s="428"/>
      <c r="E283" s="429"/>
      <c r="F283" s="428"/>
      <c r="G283" s="429"/>
      <c r="H283" s="428"/>
      <c r="I283" s="429"/>
      <c r="J283" s="428"/>
      <c r="K283" s="429"/>
      <c r="L283" s="428"/>
      <c r="M283" s="428"/>
      <c r="N283" s="428"/>
      <c r="O283" s="428"/>
      <c r="P283" s="428"/>
      <c r="Q283" s="428"/>
      <c r="R283" s="428"/>
      <c r="S283" s="428"/>
      <c r="T283" s="428"/>
      <c r="U283" s="428"/>
    </row>
    <row r="284" spans="1:21" ht="10.8" customHeight="1">
      <c r="A284" s="296"/>
      <c r="B284" s="296"/>
      <c r="C284" s="428"/>
      <c r="D284" s="428"/>
      <c r="E284" s="429"/>
      <c r="F284" s="428"/>
      <c r="G284" s="429"/>
      <c r="H284" s="428"/>
      <c r="I284" s="429"/>
      <c r="J284" s="428"/>
      <c r="K284" s="429"/>
      <c r="L284" s="428"/>
      <c r="M284" s="428"/>
      <c r="N284" s="428"/>
      <c r="O284" s="428"/>
      <c r="P284" s="428"/>
      <c r="Q284" s="428"/>
      <c r="R284" s="428"/>
      <c r="S284" s="428"/>
      <c r="T284" s="428"/>
      <c r="U284" s="428"/>
    </row>
    <row r="285" spans="1:21" ht="10.8" customHeight="1">
      <c r="A285" s="296"/>
      <c r="B285" s="296"/>
      <c r="C285" s="428"/>
      <c r="D285" s="428"/>
      <c r="E285" s="429"/>
      <c r="F285" s="428"/>
      <c r="G285" s="429"/>
      <c r="H285" s="428"/>
      <c r="I285" s="429"/>
      <c r="J285" s="428"/>
      <c r="K285" s="429"/>
      <c r="L285" s="428"/>
      <c r="M285" s="428"/>
      <c r="N285" s="428"/>
      <c r="O285" s="428"/>
      <c r="P285" s="428"/>
      <c r="Q285" s="428"/>
      <c r="R285" s="428"/>
      <c r="S285" s="428"/>
      <c r="T285" s="428"/>
      <c r="U285" s="428"/>
    </row>
    <row r="286" spans="1:21" ht="10.8" customHeight="1">
      <c r="A286" s="296"/>
      <c r="B286" s="296"/>
      <c r="C286" s="428"/>
      <c r="D286" s="428"/>
      <c r="E286" s="429"/>
      <c r="F286" s="428"/>
      <c r="G286" s="429"/>
      <c r="H286" s="428"/>
      <c r="I286" s="429"/>
      <c r="J286" s="428"/>
      <c r="K286" s="429"/>
      <c r="L286" s="428"/>
      <c r="M286" s="428"/>
      <c r="N286" s="428"/>
      <c r="O286" s="428"/>
      <c r="P286" s="428"/>
      <c r="Q286" s="428"/>
      <c r="R286" s="428"/>
      <c r="S286" s="428"/>
      <c r="T286" s="428"/>
      <c r="U286" s="428"/>
    </row>
    <row r="287" spans="1:21" ht="10.8" customHeight="1">
      <c r="A287" s="296"/>
      <c r="B287" s="296"/>
      <c r="C287" s="428"/>
      <c r="D287" s="428"/>
      <c r="E287" s="429"/>
      <c r="F287" s="428"/>
      <c r="G287" s="429"/>
      <c r="H287" s="428"/>
      <c r="I287" s="429"/>
      <c r="J287" s="428"/>
      <c r="K287" s="429"/>
      <c r="L287" s="428"/>
      <c r="M287" s="428"/>
      <c r="N287" s="428"/>
      <c r="O287" s="428"/>
      <c r="P287" s="428"/>
      <c r="Q287" s="428"/>
      <c r="R287" s="428"/>
      <c r="S287" s="428"/>
      <c r="T287" s="428"/>
      <c r="U287" s="428"/>
    </row>
    <row r="288" spans="1:21" ht="10.8" customHeight="1">
      <c r="A288" s="296"/>
      <c r="B288" s="296"/>
      <c r="C288" s="428"/>
      <c r="D288" s="428"/>
      <c r="E288" s="429"/>
      <c r="F288" s="428"/>
      <c r="G288" s="429"/>
      <c r="H288" s="428"/>
      <c r="I288" s="429"/>
      <c r="J288" s="428"/>
      <c r="K288" s="429"/>
      <c r="L288" s="428"/>
      <c r="M288" s="428"/>
      <c r="N288" s="428"/>
      <c r="O288" s="428"/>
      <c r="P288" s="428"/>
      <c r="Q288" s="428"/>
      <c r="R288" s="428"/>
      <c r="S288" s="428"/>
      <c r="T288" s="428"/>
      <c r="U288" s="428"/>
    </row>
    <row r="289" spans="1:22" ht="10.8" customHeight="1">
      <c r="A289" s="296"/>
      <c r="B289" s="296"/>
      <c r="C289" s="428"/>
      <c r="D289" s="428"/>
      <c r="E289" s="429"/>
      <c r="F289" s="428"/>
      <c r="G289" s="429"/>
      <c r="H289" s="428"/>
      <c r="I289" s="429"/>
      <c r="J289" s="428"/>
      <c r="K289" s="429"/>
      <c r="L289" s="428"/>
      <c r="M289" s="428"/>
      <c r="N289" s="428"/>
      <c r="O289" s="428"/>
      <c r="P289" s="428"/>
      <c r="Q289" s="428"/>
      <c r="R289" s="428"/>
      <c r="S289" s="428"/>
      <c r="T289" s="428"/>
      <c r="U289" s="428"/>
    </row>
    <row r="290" spans="1:22" ht="10.8" customHeight="1">
      <c r="A290" s="296"/>
      <c r="B290" s="296"/>
      <c r="C290" s="428"/>
      <c r="D290" s="428"/>
      <c r="E290" s="429"/>
      <c r="F290" s="428"/>
      <c r="G290" s="429"/>
      <c r="H290" s="428"/>
      <c r="I290" s="429"/>
      <c r="J290" s="428"/>
      <c r="K290" s="429"/>
      <c r="L290" s="428"/>
      <c r="M290" s="428"/>
      <c r="N290" s="428"/>
      <c r="O290" s="428"/>
      <c r="P290" s="428"/>
      <c r="Q290" s="428"/>
      <c r="R290" s="428"/>
      <c r="S290" s="428"/>
      <c r="T290" s="428"/>
      <c r="U290" s="428"/>
    </row>
    <row r="291" spans="1:22" ht="10.8" customHeight="1">
      <c r="A291" s="296"/>
      <c r="B291" s="296"/>
      <c r="C291" s="428"/>
      <c r="D291" s="428"/>
      <c r="E291" s="429"/>
      <c r="F291" s="428"/>
      <c r="G291" s="429"/>
      <c r="H291" s="428"/>
      <c r="I291" s="429"/>
      <c r="J291" s="428"/>
      <c r="K291" s="429"/>
      <c r="L291" s="428"/>
      <c r="M291" s="428"/>
      <c r="N291" s="428"/>
      <c r="O291" s="428"/>
      <c r="P291" s="428"/>
      <c r="Q291" s="428"/>
      <c r="R291" s="428"/>
      <c r="S291" s="428"/>
      <c r="T291" s="428"/>
      <c r="U291" s="428"/>
    </row>
    <row r="292" spans="1:22" ht="10.8" customHeight="1">
      <c r="A292" s="296"/>
      <c r="B292" s="296"/>
      <c r="C292" s="428"/>
      <c r="D292" s="428"/>
      <c r="E292" s="429"/>
      <c r="F292" s="428"/>
      <c r="G292" s="429"/>
      <c r="H292" s="428"/>
      <c r="I292" s="429"/>
      <c r="J292" s="428"/>
      <c r="K292" s="429"/>
      <c r="L292" s="428"/>
      <c r="M292" s="428"/>
      <c r="N292" s="428"/>
      <c r="O292" s="428"/>
      <c r="P292" s="428"/>
      <c r="Q292" s="428"/>
      <c r="R292" s="428"/>
      <c r="S292" s="428"/>
      <c r="T292" s="428"/>
      <c r="U292" s="428"/>
    </row>
    <row r="294" spans="1:22" ht="40.799999999999997" customHeight="1">
      <c r="A294" s="449" t="s">
        <v>191</v>
      </c>
      <c r="B294" s="449"/>
      <c r="C294" s="449"/>
      <c r="D294" s="449"/>
      <c r="E294" s="449"/>
      <c r="F294" s="449"/>
      <c r="G294" s="449"/>
      <c r="H294" s="449"/>
      <c r="I294" s="449"/>
      <c r="J294" s="449"/>
      <c r="K294" s="449"/>
      <c r="L294" s="449"/>
      <c r="M294" s="449"/>
      <c r="N294" s="449"/>
      <c r="O294" s="449"/>
      <c r="P294" s="449"/>
      <c r="Q294" s="449"/>
      <c r="R294" s="449"/>
      <c r="S294" s="449"/>
      <c r="T294" s="449"/>
      <c r="U294" s="449"/>
      <c r="V294" s="449"/>
    </row>
    <row r="295" spans="1:22" ht="12.3" customHeight="1">
      <c r="A295" s="450" t="s">
        <v>69</v>
      </c>
      <c r="B295" s="451"/>
      <c r="C295" s="454" t="s">
        <v>14</v>
      </c>
      <c r="D295" s="455"/>
      <c r="E295" s="455"/>
      <c r="F295" s="455"/>
      <c r="G295" s="455"/>
      <c r="H295" s="455"/>
      <c r="I295" s="455"/>
      <c r="J295" s="455"/>
      <c r="K295" s="455"/>
      <c r="L295" s="455"/>
      <c r="M295" s="455"/>
      <c r="N295" s="455"/>
      <c r="O295" s="455"/>
      <c r="P295" s="455"/>
      <c r="Q295" s="455"/>
      <c r="R295" s="455"/>
      <c r="S295" s="455"/>
      <c r="T295" s="455"/>
      <c r="U295" s="455"/>
    </row>
    <row r="296" spans="1:22" ht="9" customHeight="1">
      <c r="A296" s="452"/>
      <c r="B296" s="453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2" ht="10.5" customHeight="1">
      <c r="A297" s="300">
        <v>6.3</v>
      </c>
      <c r="B297" s="298" t="s">
        <v>2</v>
      </c>
      <c r="C297" s="318">
        <v>60.2</v>
      </c>
      <c r="D297" s="262">
        <v>66.7</v>
      </c>
      <c r="E297" s="85" t="s">
        <v>1</v>
      </c>
      <c r="F297" s="262">
        <v>72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2" ht="9" customHeight="1">
      <c r="A298" s="314"/>
      <c r="B298" s="296" t="s">
        <v>3</v>
      </c>
      <c r="C298" s="304">
        <v>162</v>
      </c>
      <c r="D298" s="258">
        <v>221</v>
      </c>
      <c r="E298" s="146" t="s">
        <v>1</v>
      </c>
      <c r="F298" s="258">
        <v>344</v>
      </c>
      <c r="G298" s="146" t="s">
        <v>1</v>
      </c>
      <c r="H298" s="258">
        <v>384</v>
      </c>
      <c r="I298" s="146" t="s">
        <v>1</v>
      </c>
      <c r="J298" s="258">
        <v>593</v>
      </c>
      <c r="K298" s="146" t="s">
        <v>1</v>
      </c>
      <c r="L298" s="258">
        <v>593</v>
      </c>
      <c r="M298" s="146" t="s">
        <v>1</v>
      </c>
      <c r="N298" s="146" t="s">
        <v>21</v>
      </c>
      <c r="O298" s="146" t="s">
        <v>1</v>
      </c>
      <c r="P298" s="146" t="s">
        <v>21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2" ht="9.3000000000000007" customHeight="1">
      <c r="A299" s="314"/>
      <c r="B299" s="296" t="s">
        <v>5</v>
      </c>
      <c r="C299" s="304">
        <v>172</v>
      </c>
      <c r="D299" s="258">
        <v>287</v>
      </c>
      <c r="E299" s="146" t="s">
        <v>1</v>
      </c>
      <c r="F299" s="258">
        <v>363</v>
      </c>
      <c r="G299" s="146" t="s">
        <v>1</v>
      </c>
      <c r="H299" s="258">
        <v>592</v>
      </c>
      <c r="I299" s="146" t="s">
        <v>1</v>
      </c>
      <c r="J299" s="258">
        <v>622</v>
      </c>
      <c r="K299" s="146" t="s">
        <v>1</v>
      </c>
      <c r="L299" s="258">
        <v>508</v>
      </c>
      <c r="M299" s="146" t="s">
        <v>1</v>
      </c>
      <c r="N299" s="258">
        <v>293</v>
      </c>
      <c r="O299" s="146" t="s">
        <v>1</v>
      </c>
      <c r="P299" s="258">
        <v>516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2" ht="10.8" customHeight="1">
      <c r="A300" s="315"/>
      <c r="B300" s="297" t="s">
        <v>7</v>
      </c>
      <c r="C300" s="307">
        <v>260</v>
      </c>
      <c r="D300" s="259">
        <v>414</v>
      </c>
      <c r="E300" s="149" t="s">
        <v>1</v>
      </c>
      <c r="F300" s="259">
        <v>597</v>
      </c>
      <c r="G300" s="149" t="s">
        <v>1</v>
      </c>
      <c r="H300" s="259">
        <v>865</v>
      </c>
      <c r="I300" s="149" t="s">
        <v>1</v>
      </c>
      <c r="J300" s="259">
        <v>1144</v>
      </c>
      <c r="K300" s="149" t="s">
        <v>1</v>
      </c>
      <c r="L300" s="259">
        <v>1201</v>
      </c>
      <c r="M300" s="149" t="s">
        <v>1</v>
      </c>
      <c r="N300" s="259">
        <v>941</v>
      </c>
      <c r="O300" s="149" t="s">
        <v>1</v>
      </c>
      <c r="P300" s="259">
        <v>312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2" ht="10.5" customHeight="1">
      <c r="A301" s="300">
        <v>7.1</v>
      </c>
      <c r="B301" s="298" t="s">
        <v>2</v>
      </c>
      <c r="C301" s="318">
        <v>63.9</v>
      </c>
      <c r="D301" s="262">
        <v>74.2</v>
      </c>
      <c r="E301" s="85" t="s">
        <v>1</v>
      </c>
      <c r="F301" s="262">
        <v>85.2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2" ht="9" customHeight="1">
      <c r="A302" s="314"/>
      <c r="B302" s="296" t="s">
        <v>3</v>
      </c>
      <c r="C302" s="304">
        <v>166</v>
      </c>
      <c r="D302" s="258">
        <v>224</v>
      </c>
      <c r="E302" s="146" t="s">
        <v>1</v>
      </c>
      <c r="F302" s="258">
        <v>335</v>
      </c>
      <c r="G302" s="146" t="s">
        <v>1</v>
      </c>
      <c r="H302" s="258">
        <v>381</v>
      </c>
      <c r="I302" s="146" t="s">
        <v>1</v>
      </c>
      <c r="J302" s="258">
        <v>598</v>
      </c>
      <c r="K302" s="146" t="s">
        <v>1</v>
      </c>
      <c r="L302" s="258">
        <v>652</v>
      </c>
      <c r="M302" s="146" t="s">
        <v>1</v>
      </c>
      <c r="N302" s="258">
        <v>456</v>
      </c>
      <c r="O302" s="146" t="s">
        <v>1</v>
      </c>
      <c r="P302" s="146" t="s">
        <v>21</v>
      </c>
      <c r="Q302" s="146" t="s">
        <v>21</v>
      </c>
      <c r="R302" s="146" t="s">
        <v>21</v>
      </c>
      <c r="S302" s="146" t="s">
        <v>21</v>
      </c>
      <c r="T302" s="146" t="s">
        <v>21</v>
      </c>
      <c r="U302" s="223" t="s">
        <v>21</v>
      </c>
    </row>
    <row r="303" spans="1:22" ht="9.3000000000000007" customHeight="1">
      <c r="A303" s="314"/>
      <c r="B303" s="296" t="s">
        <v>5</v>
      </c>
      <c r="C303" s="304">
        <v>174</v>
      </c>
      <c r="D303" s="258">
        <v>283</v>
      </c>
      <c r="E303" s="146" t="s">
        <v>1</v>
      </c>
      <c r="F303" s="258">
        <v>353</v>
      </c>
      <c r="G303" s="146" t="s">
        <v>1</v>
      </c>
      <c r="H303" s="258">
        <v>575</v>
      </c>
      <c r="I303" s="146" t="s">
        <v>1</v>
      </c>
      <c r="J303" s="258">
        <v>627</v>
      </c>
      <c r="K303" s="146" t="s">
        <v>1</v>
      </c>
      <c r="L303" s="258">
        <v>573</v>
      </c>
      <c r="M303" s="146" t="s">
        <v>1</v>
      </c>
      <c r="N303" s="258">
        <v>199</v>
      </c>
      <c r="O303" s="146" t="s">
        <v>1</v>
      </c>
      <c r="P303" s="258">
        <v>161</v>
      </c>
      <c r="Q303" s="258">
        <v>633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2" ht="10.8" customHeight="1">
      <c r="A304" s="315"/>
      <c r="B304" s="297" t="s">
        <v>7</v>
      </c>
      <c r="C304" s="307">
        <v>263</v>
      </c>
      <c r="D304" s="259">
        <v>410</v>
      </c>
      <c r="E304" s="149" t="s">
        <v>1</v>
      </c>
      <c r="F304" s="259">
        <v>570</v>
      </c>
      <c r="G304" s="149" t="s">
        <v>1</v>
      </c>
      <c r="H304" s="259">
        <v>830</v>
      </c>
      <c r="I304" s="149" t="s">
        <v>1</v>
      </c>
      <c r="J304" s="259">
        <v>1120</v>
      </c>
      <c r="K304" s="149" t="s">
        <v>1</v>
      </c>
      <c r="L304" s="259">
        <v>1230</v>
      </c>
      <c r="M304" s="149" t="s">
        <v>1</v>
      </c>
      <c r="N304" s="259">
        <v>1062</v>
      </c>
      <c r="O304" s="149" t="s">
        <v>1</v>
      </c>
      <c r="P304" s="259">
        <v>813</v>
      </c>
      <c r="Q304" s="259">
        <v>345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300">
        <v>8</v>
      </c>
      <c r="B305" s="298" t="s">
        <v>2</v>
      </c>
      <c r="C305" s="318">
        <v>63.9</v>
      </c>
      <c r="D305" s="262">
        <v>75.5</v>
      </c>
      <c r="E305" s="262">
        <v>77.900000000000006</v>
      </c>
      <c r="F305" s="262">
        <v>91</v>
      </c>
      <c r="G305" s="262">
        <v>87.5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314"/>
      <c r="B306" s="296" t="s">
        <v>3</v>
      </c>
      <c r="C306" s="304">
        <v>159</v>
      </c>
      <c r="D306" s="258">
        <v>218</v>
      </c>
      <c r="E306" s="258">
        <v>239</v>
      </c>
      <c r="F306" s="258">
        <v>326</v>
      </c>
      <c r="G306" s="258">
        <v>364</v>
      </c>
      <c r="H306" s="258">
        <v>380</v>
      </c>
      <c r="I306" s="258">
        <v>385</v>
      </c>
      <c r="J306" s="258">
        <v>605</v>
      </c>
      <c r="K306" s="258">
        <v>670</v>
      </c>
      <c r="L306" s="258">
        <v>692</v>
      </c>
      <c r="M306" s="258">
        <v>663</v>
      </c>
      <c r="N306" s="258">
        <v>573</v>
      </c>
      <c r="O306" s="258">
        <v>483</v>
      </c>
      <c r="P306" s="146" t="s">
        <v>21</v>
      </c>
      <c r="Q306" s="146" t="s">
        <v>21</v>
      </c>
      <c r="R306" s="146" t="s">
        <v>21</v>
      </c>
      <c r="S306" s="146" t="s">
        <v>21</v>
      </c>
      <c r="T306" s="146" t="s">
        <v>21</v>
      </c>
      <c r="U306" s="223" t="s">
        <v>21</v>
      </c>
    </row>
    <row r="307" spans="1:21" ht="9.3000000000000007" customHeight="1">
      <c r="A307" s="314"/>
      <c r="B307" s="296" t="s">
        <v>5</v>
      </c>
      <c r="C307" s="304">
        <v>164</v>
      </c>
      <c r="D307" s="258">
        <v>271</v>
      </c>
      <c r="E307" s="258">
        <v>296</v>
      </c>
      <c r="F307" s="258">
        <v>345</v>
      </c>
      <c r="G307" s="258">
        <v>373</v>
      </c>
      <c r="H307" s="258">
        <v>568</v>
      </c>
      <c r="I307" s="258">
        <v>573</v>
      </c>
      <c r="J307" s="258">
        <v>634</v>
      </c>
      <c r="K307" s="258">
        <v>672</v>
      </c>
      <c r="L307" s="258">
        <v>621</v>
      </c>
      <c r="M307" s="258">
        <v>557</v>
      </c>
      <c r="N307" s="258">
        <v>343</v>
      </c>
      <c r="O307" s="258">
        <v>212</v>
      </c>
      <c r="P307" s="258">
        <v>335</v>
      </c>
      <c r="Q307" s="258">
        <v>206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315"/>
      <c r="B308" s="297" t="s">
        <v>7</v>
      </c>
      <c r="C308" s="307">
        <v>249</v>
      </c>
      <c r="D308" s="259">
        <v>393</v>
      </c>
      <c r="E308" s="259">
        <v>430</v>
      </c>
      <c r="F308" s="259">
        <v>552</v>
      </c>
      <c r="G308" s="259">
        <v>614</v>
      </c>
      <c r="H308" s="259">
        <v>812</v>
      </c>
      <c r="I308" s="259">
        <v>838</v>
      </c>
      <c r="J308" s="259">
        <v>1106</v>
      </c>
      <c r="K308" s="259">
        <v>1236</v>
      </c>
      <c r="L308" s="259">
        <v>1241</v>
      </c>
      <c r="M308" s="259">
        <v>1280</v>
      </c>
      <c r="N308" s="259">
        <v>1148</v>
      </c>
      <c r="O308" s="259">
        <v>1085</v>
      </c>
      <c r="P308" s="259">
        <v>1034</v>
      </c>
      <c r="Q308" s="259">
        <v>848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300">
        <v>9</v>
      </c>
      <c r="B309" s="298" t="s">
        <v>2</v>
      </c>
      <c r="C309" s="318">
        <v>63.1</v>
      </c>
      <c r="D309" s="262">
        <v>76</v>
      </c>
      <c r="E309" s="262">
        <v>85.3</v>
      </c>
      <c r="F309" s="262">
        <v>94.3</v>
      </c>
      <c r="G309" s="262">
        <v>99.3</v>
      </c>
      <c r="H309" s="262">
        <v>99.4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314"/>
      <c r="B310" s="296" t="s">
        <v>3</v>
      </c>
      <c r="C310" s="304">
        <v>154</v>
      </c>
      <c r="D310" s="258">
        <v>212</v>
      </c>
      <c r="E310" s="258">
        <v>244</v>
      </c>
      <c r="F310" s="258">
        <v>317</v>
      </c>
      <c r="G310" s="258">
        <v>353</v>
      </c>
      <c r="H310" s="258">
        <v>374</v>
      </c>
      <c r="I310" s="258">
        <v>380</v>
      </c>
      <c r="J310" s="258">
        <v>600</v>
      </c>
      <c r="K310" s="258">
        <v>672</v>
      </c>
      <c r="L310" s="258">
        <v>720</v>
      </c>
      <c r="M310" s="258">
        <v>721</v>
      </c>
      <c r="N310" s="258">
        <v>659</v>
      </c>
      <c r="O310" s="258">
        <v>600</v>
      </c>
      <c r="P310" s="258">
        <v>638</v>
      </c>
      <c r="Q310" s="258">
        <v>485</v>
      </c>
      <c r="R310" s="146" t="s">
        <v>21</v>
      </c>
      <c r="S310" s="146" t="s">
        <v>21</v>
      </c>
      <c r="T310" s="146" t="s">
        <v>21</v>
      </c>
      <c r="U310" s="223" t="s">
        <v>21</v>
      </c>
    </row>
    <row r="311" spans="1:21" ht="9.3000000000000007" customHeight="1">
      <c r="A311" s="314"/>
      <c r="B311" s="296" t="s">
        <v>5</v>
      </c>
      <c r="C311" s="304">
        <v>157</v>
      </c>
      <c r="D311" s="258">
        <v>259</v>
      </c>
      <c r="E311" s="258">
        <v>292</v>
      </c>
      <c r="F311" s="258">
        <v>337</v>
      </c>
      <c r="G311" s="258">
        <v>362</v>
      </c>
      <c r="H311" s="258">
        <v>556</v>
      </c>
      <c r="I311" s="258">
        <v>556</v>
      </c>
      <c r="J311" s="258">
        <v>632</v>
      </c>
      <c r="K311" s="258">
        <v>677</v>
      </c>
      <c r="L311" s="258">
        <v>654</v>
      </c>
      <c r="M311" s="258">
        <v>622</v>
      </c>
      <c r="N311" s="258">
        <v>446</v>
      </c>
      <c r="O311" s="258">
        <v>358</v>
      </c>
      <c r="P311" s="258">
        <v>463</v>
      </c>
      <c r="Q311" s="258">
        <v>405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315"/>
      <c r="B312" s="297" t="s">
        <v>7</v>
      </c>
      <c r="C312" s="307">
        <v>238</v>
      </c>
      <c r="D312" s="259">
        <v>376</v>
      </c>
      <c r="E312" s="259">
        <v>426</v>
      </c>
      <c r="F312" s="259">
        <v>533</v>
      </c>
      <c r="G312" s="259">
        <v>585</v>
      </c>
      <c r="H312" s="259">
        <v>789</v>
      </c>
      <c r="I312" s="259">
        <v>804</v>
      </c>
      <c r="J312" s="259">
        <v>1057</v>
      </c>
      <c r="K312" s="259">
        <v>1209</v>
      </c>
      <c r="L312" s="259">
        <v>1234</v>
      </c>
      <c r="M312" s="259">
        <v>1306</v>
      </c>
      <c r="N312" s="259">
        <v>1207</v>
      </c>
      <c r="O312" s="259">
        <v>1172</v>
      </c>
      <c r="P312" s="259">
        <v>1192</v>
      </c>
      <c r="Q312" s="259">
        <v>1067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300">
        <v>10</v>
      </c>
      <c r="B313" s="298" t="s">
        <v>2</v>
      </c>
      <c r="C313" s="318">
        <v>61.4</v>
      </c>
      <c r="D313" s="262">
        <v>75.3</v>
      </c>
      <c r="E313" s="262">
        <v>86</v>
      </c>
      <c r="F313" s="262">
        <v>95.6</v>
      </c>
      <c r="G313" s="237">
        <v>104</v>
      </c>
      <c r="H313" s="237">
        <v>107</v>
      </c>
      <c r="I313" s="262">
        <v>97.2</v>
      </c>
      <c r="J313" s="237">
        <v>106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314"/>
      <c r="B314" s="296" t="s">
        <v>3</v>
      </c>
      <c r="C314" s="304">
        <v>146</v>
      </c>
      <c r="D314" s="258">
        <v>200</v>
      </c>
      <c r="E314" s="258">
        <v>237</v>
      </c>
      <c r="F314" s="258">
        <v>306</v>
      </c>
      <c r="G314" s="258">
        <v>344</v>
      </c>
      <c r="H314" s="258">
        <v>365</v>
      </c>
      <c r="I314" s="258">
        <v>379</v>
      </c>
      <c r="J314" s="258">
        <v>590</v>
      </c>
      <c r="K314" s="258">
        <v>676</v>
      </c>
      <c r="L314" s="258">
        <v>726</v>
      </c>
      <c r="M314" s="258">
        <v>761</v>
      </c>
      <c r="N314" s="258">
        <v>719</v>
      </c>
      <c r="O314" s="258">
        <v>685</v>
      </c>
      <c r="P314" s="258">
        <v>779</v>
      </c>
      <c r="Q314" s="258">
        <v>680</v>
      </c>
      <c r="R314" s="146" t="s">
        <v>21</v>
      </c>
      <c r="S314" s="146" t="s">
        <v>21</v>
      </c>
      <c r="T314" s="146" t="s">
        <v>21</v>
      </c>
      <c r="U314" s="223" t="s">
        <v>21</v>
      </c>
    </row>
    <row r="315" spans="1:21" ht="9.3000000000000007" customHeight="1">
      <c r="A315" s="314"/>
      <c r="B315" s="296" t="s">
        <v>5</v>
      </c>
      <c r="C315" s="304">
        <v>146</v>
      </c>
      <c r="D315" s="258">
        <v>238</v>
      </c>
      <c r="E315" s="258">
        <v>280</v>
      </c>
      <c r="F315" s="258">
        <v>326</v>
      </c>
      <c r="G315" s="258">
        <v>354</v>
      </c>
      <c r="H315" s="258">
        <v>542</v>
      </c>
      <c r="I315" s="258">
        <v>549</v>
      </c>
      <c r="J315" s="258">
        <v>625</v>
      </c>
      <c r="K315" s="258">
        <v>684</v>
      </c>
      <c r="L315" s="258">
        <v>672</v>
      </c>
      <c r="M315" s="258">
        <v>669</v>
      </c>
      <c r="N315" s="258">
        <v>522</v>
      </c>
      <c r="O315" s="258">
        <v>462</v>
      </c>
      <c r="P315" s="258">
        <v>236</v>
      </c>
      <c r="Q315" s="258">
        <v>60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315"/>
      <c r="B316" s="297" t="s">
        <v>7</v>
      </c>
      <c r="C316" s="307">
        <v>222</v>
      </c>
      <c r="D316" s="259">
        <v>348</v>
      </c>
      <c r="E316" s="259">
        <v>409</v>
      </c>
      <c r="F316" s="259">
        <v>511</v>
      </c>
      <c r="G316" s="259">
        <v>566</v>
      </c>
      <c r="H316" s="259">
        <v>762</v>
      </c>
      <c r="I316" s="259">
        <v>786</v>
      </c>
      <c r="J316" s="259">
        <v>1017</v>
      </c>
      <c r="K316" s="259">
        <v>1193</v>
      </c>
      <c r="L316" s="259">
        <v>1216</v>
      </c>
      <c r="M316" s="259">
        <v>1314</v>
      </c>
      <c r="N316" s="259">
        <v>1241</v>
      </c>
      <c r="O316" s="259">
        <v>1232</v>
      </c>
      <c r="P316" s="259">
        <v>1303</v>
      </c>
      <c r="Q316" s="259">
        <v>1225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300">
        <v>11.2</v>
      </c>
      <c r="B317" s="298" t="s">
        <v>2</v>
      </c>
      <c r="C317" s="318">
        <v>59.4</v>
      </c>
      <c r="D317" s="262">
        <v>73.2</v>
      </c>
      <c r="E317" s="262">
        <v>85.9</v>
      </c>
      <c r="F317" s="262">
        <v>99.4</v>
      </c>
      <c r="G317" s="237">
        <v>106</v>
      </c>
      <c r="H317" s="237">
        <v>111</v>
      </c>
      <c r="I317" s="237">
        <v>107</v>
      </c>
      <c r="J317" s="237">
        <v>125</v>
      </c>
      <c r="K317" s="237">
        <v>117</v>
      </c>
      <c r="L317" s="237">
        <v>128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314"/>
      <c r="B318" s="296" t="s">
        <v>3</v>
      </c>
      <c r="C318" s="304">
        <v>139</v>
      </c>
      <c r="D318" s="258">
        <v>191</v>
      </c>
      <c r="E318" s="258">
        <v>229</v>
      </c>
      <c r="F318" s="258">
        <v>308</v>
      </c>
      <c r="G318" s="258">
        <v>334</v>
      </c>
      <c r="H318" s="258">
        <v>353</v>
      </c>
      <c r="I318" s="258">
        <v>373</v>
      </c>
      <c r="J318" s="258">
        <v>593</v>
      </c>
      <c r="K318" s="258">
        <v>667</v>
      </c>
      <c r="L318" s="258">
        <v>745</v>
      </c>
      <c r="M318" s="258">
        <v>783</v>
      </c>
      <c r="N318" s="258">
        <v>757</v>
      </c>
      <c r="O318" s="258">
        <v>745</v>
      </c>
      <c r="P318" s="258">
        <v>878</v>
      </c>
      <c r="Q318" s="258">
        <v>817</v>
      </c>
      <c r="R318" s="146" t="s">
        <v>21</v>
      </c>
      <c r="S318" s="146" t="s">
        <v>21</v>
      </c>
      <c r="T318" s="146" t="s">
        <v>21</v>
      </c>
      <c r="U318" s="223" t="s">
        <v>21</v>
      </c>
    </row>
    <row r="319" spans="1:21" ht="9.3000000000000007" customHeight="1">
      <c r="A319" s="314"/>
      <c r="B319" s="296" t="s">
        <v>5</v>
      </c>
      <c r="C319" s="304">
        <v>138</v>
      </c>
      <c r="D319" s="258">
        <v>224</v>
      </c>
      <c r="E319" s="258">
        <v>266</v>
      </c>
      <c r="F319" s="258">
        <v>329</v>
      </c>
      <c r="G319" s="258">
        <v>345</v>
      </c>
      <c r="H319" s="258">
        <v>524</v>
      </c>
      <c r="I319" s="258">
        <v>538</v>
      </c>
      <c r="J319" s="258">
        <v>628</v>
      </c>
      <c r="K319" s="258">
        <v>679</v>
      </c>
      <c r="L319" s="258">
        <v>696</v>
      </c>
      <c r="M319" s="258">
        <v>703</v>
      </c>
      <c r="N319" s="258">
        <v>577</v>
      </c>
      <c r="O319" s="258">
        <v>539</v>
      </c>
      <c r="P319" s="258">
        <v>382</v>
      </c>
      <c r="Q319" s="258">
        <v>265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315"/>
      <c r="B320" s="297" t="s">
        <v>7</v>
      </c>
      <c r="C320" s="307">
        <v>210</v>
      </c>
      <c r="D320" s="259">
        <v>328</v>
      </c>
      <c r="E320" s="259">
        <v>390</v>
      </c>
      <c r="F320" s="259">
        <v>513</v>
      </c>
      <c r="G320" s="259">
        <v>546</v>
      </c>
      <c r="H320" s="259">
        <v>730</v>
      </c>
      <c r="I320" s="259">
        <v>763</v>
      </c>
      <c r="J320" s="259">
        <v>1014</v>
      </c>
      <c r="K320" s="259">
        <v>1144</v>
      </c>
      <c r="L320" s="259">
        <v>1231</v>
      </c>
      <c r="M320" s="259">
        <v>1306</v>
      </c>
      <c r="N320" s="259">
        <v>1243</v>
      </c>
      <c r="O320" s="259">
        <v>1266</v>
      </c>
      <c r="P320" s="259">
        <v>1376</v>
      </c>
      <c r="Q320" s="259">
        <v>1336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300">
        <v>12.5</v>
      </c>
      <c r="B321" s="298" t="s">
        <v>2</v>
      </c>
      <c r="C321" s="318">
        <v>60.8</v>
      </c>
      <c r="D321" s="262">
        <v>78.8</v>
      </c>
      <c r="E321" s="262">
        <v>84.6</v>
      </c>
      <c r="F321" s="237">
        <v>107</v>
      </c>
      <c r="G321" s="237">
        <v>107</v>
      </c>
      <c r="H321" s="237">
        <v>125</v>
      </c>
      <c r="I321" s="237">
        <v>114</v>
      </c>
      <c r="J321" s="237">
        <v>168</v>
      </c>
      <c r="K321" s="237">
        <v>139</v>
      </c>
      <c r="L321" s="237">
        <v>180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136</v>
      </c>
      <c r="D322" s="258">
        <v>191</v>
      </c>
      <c r="E322" s="258">
        <v>216</v>
      </c>
      <c r="F322" s="258">
        <v>304</v>
      </c>
      <c r="G322" s="258">
        <v>322</v>
      </c>
      <c r="H322" s="258">
        <v>353</v>
      </c>
      <c r="I322" s="258">
        <v>364</v>
      </c>
      <c r="J322" s="258">
        <v>600</v>
      </c>
      <c r="K322" s="258">
        <v>654</v>
      </c>
      <c r="L322" s="258">
        <v>740</v>
      </c>
      <c r="M322" s="258">
        <v>786</v>
      </c>
      <c r="N322" s="258">
        <v>791</v>
      </c>
      <c r="O322" s="258">
        <v>783</v>
      </c>
      <c r="P322" s="258">
        <v>1002</v>
      </c>
      <c r="Q322" s="258">
        <v>914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137</v>
      </c>
      <c r="D323" s="258">
        <v>228</v>
      </c>
      <c r="E323" s="258">
        <v>245</v>
      </c>
      <c r="F323" s="258">
        <v>326</v>
      </c>
      <c r="G323" s="258">
        <v>333</v>
      </c>
      <c r="H323" s="258">
        <v>517</v>
      </c>
      <c r="I323" s="258">
        <v>524</v>
      </c>
      <c r="J323" s="258">
        <v>637</v>
      </c>
      <c r="K323" s="258">
        <v>670</v>
      </c>
      <c r="L323" s="258">
        <v>702</v>
      </c>
      <c r="M323" s="258">
        <v>716</v>
      </c>
      <c r="N323" s="258">
        <v>619</v>
      </c>
      <c r="O323" s="258">
        <v>592</v>
      </c>
      <c r="P323" s="258">
        <v>535</v>
      </c>
      <c r="Q323" s="258">
        <v>406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205</v>
      </c>
      <c r="D324" s="259">
        <v>327</v>
      </c>
      <c r="E324" s="259">
        <v>361</v>
      </c>
      <c r="F324" s="259">
        <v>501</v>
      </c>
      <c r="G324" s="259">
        <v>524</v>
      </c>
      <c r="H324" s="259">
        <v>714</v>
      </c>
      <c r="I324" s="259">
        <v>737</v>
      </c>
      <c r="J324" s="259">
        <v>1007</v>
      </c>
      <c r="K324" s="259">
        <v>1100</v>
      </c>
      <c r="L324" s="259">
        <v>1190</v>
      </c>
      <c r="M324" s="259">
        <v>1284</v>
      </c>
      <c r="N324" s="259">
        <v>1253</v>
      </c>
      <c r="O324" s="259">
        <v>1266</v>
      </c>
      <c r="P324" s="259">
        <v>1481</v>
      </c>
      <c r="Q324" s="259">
        <v>1406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>
        <v>14</v>
      </c>
      <c r="B325" s="298" t="s">
        <v>2</v>
      </c>
      <c r="C325" s="318">
        <v>58.1</v>
      </c>
      <c r="D325" s="262">
        <v>75.7</v>
      </c>
      <c r="E325" s="262">
        <v>82.3</v>
      </c>
      <c r="F325" s="237">
        <v>103</v>
      </c>
      <c r="G325" s="237">
        <v>110</v>
      </c>
      <c r="H325" s="237">
        <v>126</v>
      </c>
      <c r="I325" s="237">
        <v>117</v>
      </c>
      <c r="J325" s="237">
        <v>176</v>
      </c>
      <c r="K325" s="237">
        <v>158</v>
      </c>
      <c r="L325" s="237">
        <v>204</v>
      </c>
      <c r="M325" s="237">
        <v>165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129</v>
      </c>
      <c r="D326" s="258">
        <v>181</v>
      </c>
      <c r="E326" s="258">
        <v>206</v>
      </c>
      <c r="F326" s="258">
        <v>281</v>
      </c>
      <c r="G326" s="258">
        <v>323</v>
      </c>
      <c r="H326" s="258">
        <v>343</v>
      </c>
      <c r="I326" s="258">
        <v>352</v>
      </c>
      <c r="J326" s="258">
        <v>572</v>
      </c>
      <c r="K326" s="258">
        <v>660</v>
      </c>
      <c r="L326" s="258">
        <v>724</v>
      </c>
      <c r="M326" s="258">
        <v>805</v>
      </c>
      <c r="N326" s="258">
        <v>787</v>
      </c>
      <c r="O326" s="258">
        <v>817</v>
      </c>
      <c r="P326" s="258">
        <v>1032</v>
      </c>
      <c r="Q326" s="258">
        <v>1036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127</v>
      </c>
      <c r="D327" s="258">
        <v>211</v>
      </c>
      <c r="E327" s="258">
        <v>230</v>
      </c>
      <c r="F327" s="258">
        <v>305</v>
      </c>
      <c r="G327" s="258">
        <v>336</v>
      </c>
      <c r="H327" s="258">
        <v>491</v>
      </c>
      <c r="I327" s="258">
        <v>506</v>
      </c>
      <c r="J327" s="258">
        <v>612</v>
      </c>
      <c r="K327" s="258">
        <v>678</v>
      </c>
      <c r="L327" s="258">
        <v>693</v>
      </c>
      <c r="M327" s="258">
        <v>740</v>
      </c>
      <c r="N327" s="258">
        <v>639</v>
      </c>
      <c r="O327" s="258">
        <v>636</v>
      </c>
      <c r="P327" s="258">
        <v>597</v>
      </c>
      <c r="Q327" s="258">
        <v>558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191</v>
      </c>
      <c r="D328" s="259">
        <v>304</v>
      </c>
      <c r="E328" s="259">
        <v>341</v>
      </c>
      <c r="F328" s="259">
        <v>463</v>
      </c>
      <c r="G328" s="259">
        <v>525</v>
      </c>
      <c r="H328" s="259">
        <v>680</v>
      </c>
      <c r="I328" s="259">
        <v>707</v>
      </c>
      <c r="J328" s="259">
        <v>957</v>
      </c>
      <c r="K328" s="259">
        <v>1096</v>
      </c>
      <c r="L328" s="259">
        <v>1140</v>
      </c>
      <c r="M328" s="259">
        <v>1299</v>
      </c>
      <c r="N328" s="259">
        <v>1221</v>
      </c>
      <c r="O328" s="259">
        <v>1277</v>
      </c>
      <c r="P328" s="259">
        <v>1472</v>
      </c>
      <c r="Q328" s="259">
        <v>1507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>
        <v>16</v>
      </c>
      <c r="B329" s="298" t="s">
        <v>2</v>
      </c>
      <c r="C329" s="318">
        <v>53.5</v>
      </c>
      <c r="D329" s="262">
        <v>71.7</v>
      </c>
      <c r="E329" s="262">
        <v>87.6</v>
      </c>
      <c r="F329" s="262">
        <v>98.7</v>
      </c>
      <c r="G329" s="237">
        <v>117</v>
      </c>
      <c r="H329" s="237">
        <v>123</v>
      </c>
      <c r="I329" s="237">
        <v>129</v>
      </c>
      <c r="J329" s="237">
        <v>178</v>
      </c>
      <c r="K329" s="237">
        <v>201</v>
      </c>
      <c r="L329" s="237">
        <v>215</v>
      </c>
      <c r="M329" s="237">
        <v>216</v>
      </c>
      <c r="N329" s="237">
        <v>185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117</v>
      </c>
      <c r="D330" s="258">
        <v>169</v>
      </c>
      <c r="E330" s="258">
        <v>206</v>
      </c>
      <c r="F330" s="258">
        <v>264</v>
      </c>
      <c r="G330" s="258">
        <v>319</v>
      </c>
      <c r="H330" s="258">
        <v>325</v>
      </c>
      <c r="I330" s="258">
        <v>351</v>
      </c>
      <c r="J330" s="258">
        <v>540</v>
      </c>
      <c r="K330" s="258">
        <v>666</v>
      </c>
      <c r="L330" s="258">
        <v>676</v>
      </c>
      <c r="M330" s="258">
        <v>797</v>
      </c>
      <c r="N330" s="258">
        <v>811</v>
      </c>
      <c r="O330" s="258">
        <v>810</v>
      </c>
      <c r="P330" s="258">
        <v>1029</v>
      </c>
      <c r="Q330" s="258">
        <v>1062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113</v>
      </c>
      <c r="D331" s="258">
        <v>193</v>
      </c>
      <c r="E331" s="258">
        <v>234</v>
      </c>
      <c r="F331" s="258">
        <v>288</v>
      </c>
      <c r="G331" s="258">
        <v>333</v>
      </c>
      <c r="H331" s="258">
        <v>454</v>
      </c>
      <c r="I331" s="258">
        <v>500</v>
      </c>
      <c r="J331" s="258">
        <v>582</v>
      </c>
      <c r="K331" s="258">
        <v>687</v>
      </c>
      <c r="L331" s="258">
        <v>654</v>
      </c>
      <c r="M331" s="258">
        <v>743</v>
      </c>
      <c r="N331" s="258">
        <v>678</v>
      </c>
      <c r="O331" s="258">
        <v>655</v>
      </c>
      <c r="P331" s="258">
        <v>639</v>
      </c>
      <c r="Q331" s="258">
        <v>618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171</v>
      </c>
      <c r="D332" s="259">
        <v>280</v>
      </c>
      <c r="E332" s="259">
        <v>339</v>
      </c>
      <c r="F332" s="259">
        <v>435</v>
      </c>
      <c r="G332" s="259">
        <v>513</v>
      </c>
      <c r="H332" s="259">
        <v>629</v>
      </c>
      <c r="I332" s="259">
        <v>691</v>
      </c>
      <c r="J332" s="259">
        <v>901</v>
      </c>
      <c r="K332" s="259">
        <v>1086</v>
      </c>
      <c r="L332" s="259">
        <v>1056</v>
      </c>
      <c r="M332" s="259">
        <v>1256</v>
      </c>
      <c r="N332" s="259">
        <v>1222</v>
      </c>
      <c r="O332" s="259">
        <v>1242</v>
      </c>
      <c r="P332" s="259">
        <v>1442</v>
      </c>
      <c r="Q332" s="259">
        <v>1497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18</v>
      </c>
      <c r="B333" s="298" t="s">
        <v>2</v>
      </c>
      <c r="C333" s="318">
        <v>51.4</v>
      </c>
      <c r="D333" s="262">
        <v>65.900000000000006</v>
      </c>
      <c r="E333" s="262">
        <v>83.7</v>
      </c>
      <c r="F333" s="262">
        <v>91.3</v>
      </c>
      <c r="G333" s="237">
        <v>112</v>
      </c>
      <c r="H333" s="237">
        <v>115</v>
      </c>
      <c r="I333" s="237">
        <v>130</v>
      </c>
      <c r="J333" s="237">
        <v>159</v>
      </c>
      <c r="K333" s="237">
        <v>206</v>
      </c>
      <c r="L333" s="237">
        <v>222</v>
      </c>
      <c r="M333" s="237">
        <v>239</v>
      </c>
      <c r="N333" s="237">
        <v>212</v>
      </c>
      <c r="O333" s="237">
        <v>202</v>
      </c>
      <c r="P333" s="237">
        <v>189</v>
      </c>
      <c r="Q333" s="237">
        <v>151</v>
      </c>
      <c r="R333" s="237">
        <v>228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111</v>
      </c>
      <c r="D334" s="258">
        <v>159</v>
      </c>
      <c r="E334" s="258">
        <v>194</v>
      </c>
      <c r="F334" s="258">
        <v>250</v>
      </c>
      <c r="G334" s="258">
        <v>294</v>
      </c>
      <c r="H334" s="258">
        <v>309</v>
      </c>
      <c r="I334" s="258">
        <v>341</v>
      </c>
      <c r="J334" s="258">
        <v>508</v>
      </c>
      <c r="K334" s="258">
        <v>633</v>
      </c>
      <c r="L334" s="258">
        <v>673</v>
      </c>
      <c r="M334" s="258">
        <v>778</v>
      </c>
      <c r="N334" s="258">
        <v>785</v>
      </c>
      <c r="O334" s="258">
        <v>833</v>
      </c>
      <c r="P334" s="258">
        <v>1037</v>
      </c>
      <c r="Q334" s="258">
        <v>1057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106</v>
      </c>
      <c r="D335" s="258">
        <v>179</v>
      </c>
      <c r="E335" s="258">
        <v>217</v>
      </c>
      <c r="F335" s="258">
        <v>276</v>
      </c>
      <c r="G335" s="258">
        <v>311</v>
      </c>
      <c r="H335" s="258">
        <v>426</v>
      </c>
      <c r="I335" s="258">
        <v>487</v>
      </c>
      <c r="J335" s="258">
        <v>552</v>
      </c>
      <c r="K335" s="258">
        <v>658</v>
      </c>
      <c r="L335" s="258">
        <v>654</v>
      </c>
      <c r="M335" s="258">
        <v>732</v>
      </c>
      <c r="N335" s="258">
        <v>666</v>
      </c>
      <c r="O335" s="258">
        <v>692</v>
      </c>
      <c r="P335" s="258">
        <v>680</v>
      </c>
      <c r="Q335" s="258">
        <v>658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161</v>
      </c>
      <c r="D336" s="259">
        <v>262</v>
      </c>
      <c r="E336" s="259">
        <v>316</v>
      </c>
      <c r="F336" s="259">
        <v>417</v>
      </c>
      <c r="G336" s="259">
        <v>474</v>
      </c>
      <c r="H336" s="259">
        <v>594</v>
      </c>
      <c r="I336" s="259">
        <v>670</v>
      </c>
      <c r="J336" s="259">
        <v>858</v>
      </c>
      <c r="K336" s="259">
        <v>1030</v>
      </c>
      <c r="L336" s="259">
        <v>1053</v>
      </c>
      <c r="M336" s="259">
        <v>1199</v>
      </c>
      <c r="N336" s="259">
        <v>1168</v>
      </c>
      <c r="O336" s="259">
        <v>1242</v>
      </c>
      <c r="P336" s="259">
        <v>1434</v>
      </c>
      <c r="Q336" s="259">
        <v>1465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>
        <v>20</v>
      </c>
      <c r="B337" s="298" t="s">
        <v>2</v>
      </c>
      <c r="C337" s="318">
        <v>51</v>
      </c>
      <c r="D337" s="262">
        <v>62.4</v>
      </c>
      <c r="E337" s="262">
        <v>79.2</v>
      </c>
      <c r="F337" s="262">
        <v>86.4</v>
      </c>
      <c r="G337" s="237">
        <v>107</v>
      </c>
      <c r="H337" s="237">
        <v>113</v>
      </c>
      <c r="I337" s="237">
        <v>126</v>
      </c>
      <c r="J337" s="237">
        <v>160</v>
      </c>
      <c r="K337" s="237">
        <v>206</v>
      </c>
      <c r="L337" s="237">
        <v>223</v>
      </c>
      <c r="M337" s="237">
        <v>245</v>
      </c>
      <c r="N337" s="237">
        <v>253</v>
      </c>
      <c r="O337" s="237">
        <v>229</v>
      </c>
      <c r="P337" s="237">
        <v>217</v>
      </c>
      <c r="Q337" s="237">
        <v>229</v>
      </c>
      <c r="R337" s="237">
        <v>285</v>
      </c>
      <c r="S337" s="237">
        <v>256</v>
      </c>
      <c r="T337" s="237">
        <v>202</v>
      </c>
      <c r="U337" s="316">
        <v>211</v>
      </c>
    </row>
    <row r="338" spans="1:21" ht="9" customHeight="1">
      <c r="A338" s="314"/>
      <c r="B338" s="296" t="s">
        <v>3</v>
      </c>
      <c r="C338" s="304">
        <v>110</v>
      </c>
      <c r="D338" s="258">
        <v>149</v>
      </c>
      <c r="E338" s="258">
        <v>182</v>
      </c>
      <c r="F338" s="258">
        <v>233</v>
      </c>
      <c r="G338" s="258">
        <v>276</v>
      </c>
      <c r="H338" s="258">
        <v>300</v>
      </c>
      <c r="I338" s="258">
        <v>323</v>
      </c>
      <c r="J338" s="258">
        <v>490</v>
      </c>
      <c r="K338" s="258">
        <v>596</v>
      </c>
      <c r="L338" s="258">
        <v>633</v>
      </c>
      <c r="M338" s="258">
        <v>725</v>
      </c>
      <c r="N338" s="258">
        <v>781</v>
      </c>
      <c r="O338" s="258">
        <v>805</v>
      </c>
      <c r="P338" s="258">
        <v>1028</v>
      </c>
      <c r="Q338" s="258">
        <v>1075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103</v>
      </c>
      <c r="D339" s="258">
        <v>164</v>
      </c>
      <c r="E339" s="258">
        <v>199</v>
      </c>
      <c r="F339" s="258">
        <v>259</v>
      </c>
      <c r="G339" s="258">
        <v>294</v>
      </c>
      <c r="H339" s="258">
        <v>407</v>
      </c>
      <c r="I339" s="258">
        <v>456</v>
      </c>
      <c r="J339" s="258">
        <v>537</v>
      </c>
      <c r="K339" s="258">
        <v>623</v>
      </c>
      <c r="L339" s="258">
        <v>620</v>
      </c>
      <c r="M339" s="258">
        <v>690</v>
      </c>
      <c r="N339" s="258">
        <v>676</v>
      </c>
      <c r="O339" s="258">
        <v>680</v>
      </c>
      <c r="P339" s="258">
        <v>686</v>
      </c>
      <c r="Q339" s="258">
        <v>710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157</v>
      </c>
      <c r="D340" s="259">
        <v>242</v>
      </c>
      <c r="E340" s="259">
        <v>290</v>
      </c>
      <c r="F340" s="259">
        <v>389</v>
      </c>
      <c r="G340" s="259">
        <v>444</v>
      </c>
      <c r="H340" s="259">
        <v>570</v>
      </c>
      <c r="I340" s="259">
        <v>628</v>
      </c>
      <c r="J340" s="259">
        <v>830</v>
      </c>
      <c r="K340" s="259">
        <v>969</v>
      </c>
      <c r="L340" s="259">
        <v>989</v>
      </c>
      <c r="M340" s="259">
        <v>1109</v>
      </c>
      <c r="N340" s="259">
        <v>1145</v>
      </c>
      <c r="O340" s="259">
        <v>1188</v>
      </c>
      <c r="P340" s="259">
        <v>1411</v>
      </c>
      <c r="Q340" s="259">
        <v>1465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>
        <v>22.4</v>
      </c>
      <c r="B341" s="298" t="s">
        <v>2</v>
      </c>
      <c r="C341" s="318">
        <v>47.7</v>
      </c>
      <c r="D341" s="262">
        <v>58.5</v>
      </c>
      <c r="E341" s="262">
        <v>72.900000000000006</v>
      </c>
      <c r="F341" s="262">
        <v>84.3</v>
      </c>
      <c r="G341" s="237">
        <v>100</v>
      </c>
      <c r="H341" s="237">
        <v>108</v>
      </c>
      <c r="I341" s="237">
        <v>119</v>
      </c>
      <c r="J341" s="237">
        <v>153</v>
      </c>
      <c r="K341" s="237">
        <v>186</v>
      </c>
      <c r="L341" s="85" t="s">
        <v>1</v>
      </c>
      <c r="M341" s="237">
        <v>251</v>
      </c>
      <c r="N341" s="85" t="s">
        <v>1</v>
      </c>
      <c r="O341" s="237">
        <v>269</v>
      </c>
      <c r="P341" s="85" t="s">
        <v>1</v>
      </c>
      <c r="Q341" s="237">
        <v>254</v>
      </c>
      <c r="R341" s="85" t="s">
        <v>1</v>
      </c>
      <c r="S341" s="237">
        <v>312</v>
      </c>
      <c r="T341" s="85" t="s">
        <v>1</v>
      </c>
      <c r="U341" s="316">
        <v>232</v>
      </c>
    </row>
    <row r="342" spans="1:21" ht="9" customHeight="1">
      <c r="A342" s="314"/>
      <c r="B342" s="296" t="s">
        <v>3</v>
      </c>
      <c r="C342" s="304">
        <v>102</v>
      </c>
      <c r="D342" s="258">
        <v>138</v>
      </c>
      <c r="E342" s="258">
        <v>171</v>
      </c>
      <c r="F342" s="258">
        <v>225</v>
      </c>
      <c r="G342" s="258">
        <v>262</v>
      </c>
      <c r="H342" s="258">
        <v>280</v>
      </c>
      <c r="I342" s="258">
        <v>307</v>
      </c>
      <c r="J342" s="258">
        <v>458</v>
      </c>
      <c r="K342" s="258">
        <v>561</v>
      </c>
      <c r="L342" s="146" t="s">
        <v>1</v>
      </c>
      <c r="M342" s="258">
        <v>721</v>
      </c>
      <c r="N342" s="146" t="s">
        <v>1</v>
      </c>
      <c r="O342" s="258">
        <v>800</v>
      </c>
      <c r="P342" s="146" t="s">
        <v>1</v>
      </c>
      <c r="Q342" s="258">
        <v>1063</v>
      </c>
      <c r="R342" s="146" t="s">
        <v>1</v>
      </c>
      <c r="S342" s="146" t="s">
        <v>21</v>
      </c>
      <c r="T342" s="146" t="s">
        <v>1</v>
      </c>
      <c r="U342" s="223" t="s">
        <v>21</v>
      </c>
    </row>
    <row r="343" spans="1:21" ht="9.3000000000000007" customHeight="1">
      <c r="A343" s="314"/>
      <c r="B343" s="296" t="s">
        <v>5</v>
      </c>
      <c r="C343" s="319">
        <v>93.5</v>
      </c>
      <c r="D343" s="258">
        <v>149</v>
      </c>
      <c r="E343" s="258">
        <v>184</v>
      </c>
      <c r="F343" s="258">
        <v>251</v>
      </c>
      <c r="G343" s="258">
        <v>281</v>
      </c>
      <c r="H343" s="258">
        <v>369</v>
      </c>
      <c r="I343" s="258">
        <v>430</v>
      </c>
      <c r="J343" s="258">
        <v>506</v>
      </c>
      <c r="K343" s="258">
        <v>591</v>
      </c>
      <c r="L343" s="146" t="s">
        <v>1</v>
      </c>
      <c r="M343" s="258">
        <v>689</v>
      </c>
      <c r="N343" s="146" t="s">
        <v>1</v>
      </c>
      <c r="O343" s="258">
        <v>689</v>
      </c>
      <c r="P343" s="146" t="s">
        <v>1</v>
      </c>
      <c r="Q343" s="258">
        <v>713</v>
      </c>
      <c r="R343" s="146" t="s">
        <v>1</v>
      </c>
      <c r="S343" s="146" t="s">
        <v>21</v>
      </c>
      <c r="T343" s="146" t="s">
        <v>1</v>
      </c>
      <c r="U343" s="223" t="s">
        <v>21</v>
      </c>
    </row>
    <row r="344" spans="1:21" ht="10.95" customHeight="1">
      <c r="A344" s="315"/>
      <c r="B344" s="297" t="s">
        <v>7</v>
      </c>
      <c r="C344" s="307">
        <v>143</v>
      </c>
      <c r="D344" s="259">
        <v>221</v>
      </c>
      <c r="E344" s="259">
        <v>272</v>
      </c>
      <c r="F344" s="259">
        <v>376</v>
      </c>
      <c r="G344" s="259">
        <v>426</v>
      </c>
      <c r="H344" s="259">
        <v>519</v>
      </c>
      <c r="I344" s="259">
        <v>593</v>
      </c>
      <c r="J344" s="259">
        <v>776</v>
      </c>
      <c r="K344" s="259">
        <v>922</v>
      </c>
      <c r="L344" s="149" t="s">
        <v>1</v>
      </c>
      <c r="M344" s="259">
        <v>1106</v>
      </c>
      <c r="N344" s="149" t="s">
        <v>1</v>
      </c>
      <c r="O344" s="259">
        <v>1164</v>
      </c>
      <c r="P344" s="149" t="s">
        <v>1</v>
      </c>
      <c r="Q344" s="259">
        <v>1440</v>
      </c>
      <c r="R344" s="149" t="s">
        <v>1</v>
      </c>
      <c r="S344" s="149" t="s">
        <v>21</v>
      </c>
      <c r="T344" s="149" t="s">
        <v>1</v>
      </c>
      <c r="U344" s="225" t="s">
        <v>21</v>
      </c>
    </row>
    <row r="345" spans="1:21" ht="10.199999999999999" customHeight="1">
      <c r="A345" s="300">
        <v>25</v>
      </c>
      <c r="B345" s="298" t="s">
        <v>2</v>
      </c>
      <c r="C345" s="153" t="s">
        <v>1</v>
      </c>
      <c r="D345" s="85" t="s">
        <v>1</v>
      </c>
      <c r="E345" s="262">
        <v>68.900000000000006</v>
      </c>
      <c r="F345" s="85" t="s">
        <v>1</v>
      </c>
      <c r="G345" s="262">
        <v>94.2</v>
      </c>
      <c r="H345" s="85" t="s">
        <v>1</v>
      </c>
      <c r="I345" s="237">
        <v>116</v>
      </c>
      <c r="J345" s="85" t="s">
        <v>1</v>
      </c>
      <c r="K345" s="237">
        <v>186</v>
      </c>
      <c r="L345" s="85" t="s">
        <v>1</v>
      </c>
      <c r="M345" s="237">
        <v>251</v>
      </c>
      <c r="N345" s="85" t="s">
        <v>1</v>
      </c>
      <c r="O345" s="85" t="s">
        <v>1</v>
      </c>
      <c r="P345" s="85" t="s">
        <v>1</v>
      </c>
      <c r="Q345" s="85" t="s">
        <v>1</v>
      </c>
      <c r="R345" s="85" t="s">
        <v>1</v>
      </c>
      <c r="S345" s="85" t="s">
        <v>1</v>
      </c>
      <c r="T345" s="85" t="s">
        <v>1</v>
      </c>
      <c r="U345" s="221" t="s">
        <v>1</v>
      </c>
    </row>
    <row r="346" spans="1:21" ht="9" customHeight="1">
      <c r="A346" s="314"/>
      <c r="B346" s="296" t="s">
        <v>3</v>
      </c>
      <c r="C346" s="154" t="s">
        <v>1</v>
      </c>
      <c r="D346" s="146" t="s">
        <v>1</v>
      </c>
      <c r="E346" s="258">
        <v>160</v>
      </c>
      <c r="F346" s="146" t="s">
        <v>1</v>
      </c>
      <c r="G346" s="258">
        <v>244</v>
      </c>
      <c r="H346" s="146" t="s">
        <v>1</v>
      </c>
      <c r="I346" s="258">
        <v>298</v>
      </c>
      <c r="J346" s="146" t="s">
        <v>1</v>
      </c>
      <c r="K346" s="258">
        <v>541</v>
      </c>
      <c r="L346" s="146" t="s">
        <v>1</v>
      </c>
      <c r="M346" s="258">
        <v>677</v>
      </c>
      <c r="N346" s="146" t="s">
        <v>1</v>
      </c>
      <c r="O346" s="146" t="s">
        <v>1</v>
      </c>
      <c r="P346" s="146" t="s">
        <v>1</v>
      </c>
      <c r="Q346" s="146" t="s">
        <v>1</v>
      </c>
      <c r="R346" s="146" t="s">
        <v>1</v>
      </c>
      <c r="S346" s="146" t="s">
        <v>1</v>
      </c>
      <c r="T346" s="146" t="s">
        <v>1</v>
      </c>
      <c r="U346" s="223" t="s">
        <v>1</v>
      </c>
    </row>
    <row r="347" spans="1:21" ht="9.3000000000000007" customHeight="1">
      <c r="A347" s="314"/>
      <c r="B347" s="296" t="s">
        <v>5</v>
      </c>
      <c r="C347" s="154" t="s">
        <v>1</v>
      </c>
      <c r="D347" s="146" t="s">
        <v>1</v>
      </c>
      <c r="E347" s="258">
        <v>169</v>
      </c>
      <c r="F347" s="146" t="s">
        <v>1</v>
      </c>
      <c r="G347" s="258">
        <v>265</v>
      </c>
      <c r="H347" s="146" t="s">
        <v>1</v>
      </c>
      <c r="I347" s="258">
        <v>412</v>
      </c>
      <c r="J347" s="146" t="s">
        <v>1</v>
      </c>
      <c r="K347" s="258">
        <v>575</v>
      </c>
      <c r="L347" s="146" t="s">
        <v>1</v>
      </c>
      <c r="M347" s="258">
        <v>652</v>
      </c>
      <c r="N347" s="146" t="s">
        <v>1</v>
      </c>
      <c r="O347" s="146" t="s">
        <v>1</v>
      </c>
      <c r="P347" s="146" t="s">
        <v>1</v>
      </c>
      <c r="Q347" s="146" t="s">
        <v>1</v>
      </c>
      <c r="R347" s="146" t="s">
        <v>1</v>
      </c>
      <c r="S347" s="146" t="s">
        <v>1</v>
      </c>
      <c r="T347" s="146" t="s">
        <v>1</v>
      </c>
      <c r="U347" s="223" t="s">
        <v>1</v>
      </c>
    </row>
    <row r="348" spans="1:21" ht="10.95" customHeight="1">
      <c r="A348" s="315"/>
      <c r="B348" s="297" t="s">
        <v>7</v>
      </c>
      <c r="C348" s="155" t="s">
        <v>1</v>
      </c>
      <c r="D348" s="149" t="s">
        <v>1</v>
      </c>
      <c r="E348" s="259">
        <v>251</v>
      </c>
      <c r="F348" s="149" t="s">
        <v>1</v>
      </c>
      <c r="G348" s="259">
        <v>398</v>
      </c>
      <c r="H348" s="149" t="s">
        <v>1</v>
      </c>
      <c r="I348" s="259">
        <v>569</v>
      </c>
      <c r="J348" s="149" t="s">
        <v>1</v>
      </c>
      <c r="K348" s="259">
        <v>892</v>
      </c>
      <c r="L348" s="149" t="s">
        <v>1</v>
      </c>
      <c r="M348" s="259">
        <v>1038</v>
      </c>
      <c r="N348" s="149" t="s">
        <v>1</v>
      </c>
      <c r="O348" s="149" t="s">
        <v>1</v>
      </c>
      <c r="P348" s="149" t="s">
        <v>1</v>
      </c>
      <c r="Q348" s="149" t="s">
        <v>1</v>
      </c>
      <c r="R348" s="149" t="s">
        <v>1</v>
      </c>
      <c r="S348" s="149" t="s">
        <v>1</v>
      </c>
      <c r="T348" s="149" t="s">
        <v>1</v>
      </c>
      <c r="U348" s="225" t="s">
        <v>1</v>
      </c>
    </row>
    <row r="349" spans="1:21" ht="10.199999999999999" customHeight="1">
      <c r="A349" s="300">
        <v>28</v>
      </c>
      <c r="B349" s="298" t="s">
        <v>2</v>
      </c>
      <c r="C349" s="153" t="s">
        <v>1</v>
      </c>
      <c r="D349" s="85" t="s">
        <v>1</v>
      </c>
      <c r="E349" s="262">
        <v>64.5</v>
      </c>
      <c r="F349" s="85" t="s">
        <v>1</v>
      </c>
      <c r="G349" s="262">
        <v>91.6</v>
      </c>
      <c r="H349" s="85" t="s">
        <v>1</v>
      </c>
      <c r="I349" s="237">
        <v>111</v>
      </c>
      <c r="J349" s="85" t="s">
        <v>1</v>
      </c>
      <c r="K349" s="237">
        <v>178</v>
      </c>
      <c r="L349" s="85" t="s">
        <v>1</v>
      </c>
      <c r="M349" s="85" t="s">
        <v>1</v>
      </c>
      <c r="N349" s="85" t="s">
        <v>1</v>
      </c>
      <c r="O349" s="85" t="s">
        <v>1</v>
      </c>
      <c r="P349" s="85" t="s">
        <v>1</v>
      </c>
      <c r="Q349" s="85" t="s">
        <v>1</v>
      </c>
      <c r="R349" s="85" t="s">
        <v>1</v>
      </c>
      <c r="S349" s="85" t="s">
        <v>1</v>
      </c>
      <c r="T349" s="85" t="s">
        <v>1</v>
      </c>
      <c r="U349" s="221" t="s">
        <v>1</v>
      </c>
    </row>
    <row r="350" spans="1:21" ht="9" customHeight="1">
      <c r="A350" s="314"/>
      <c r="B350" s="296" t="s">
        <v>3</v>
      </c>
      <c r="C350" s="154" t="s">
        <v>1</v>
      </c>
      <c r="D350" s="146" t="s">
        <v>1</v>
      </c>
      <c r="E350" s="258">
        <v>148</v>
      </c>
      <c r="F350" s="146" t="s">
        <v>1</v>
      </c>
      <c r="G350" s="258">
        <v>236</v>
      </c>
      <c r="H350" s="146" t="s">
        <v>1</v>
      </c>
      <c r="I350" s="258">
        <v>279</v>
      </c>
      <c r="J350" s="146" t="s">
        <v>1</v>
      </c>
      <c r="K350" s="258">
        <v>504</v>
      </c>
      <c r="L350" s="146" t="s">
        <v>1</v>
      </c>
      <c r="M350" s="146" t="s">
        <v>1</v>
      </c>
      <c r="N350" s="146" t="s">
        <v>1</v>
      </c>
      <c r="O350" s="146" t="s">
        <v>1</v>
      </c>
      <c r="P350" s="146" t="s">
        <v>1</v>
      </c>
      <c r="Q350" s="146" t="s">
        <v>1</v>
      </c>
      <c r="R350" s="146" t="s">
        <v>1</v>
      </c>
      <c r="S350" s="146" t="s">
        <v>1</v>
      </c>
      <c r="T350" s="146" t="s">
        <v>1</v>
      </c>
      <c r="U350" s="223" t="s">
        <v>1</v>
      </c>
    </row>
    <row r="351" spans="1:21" ht="9.3000000000000007" customHeight="1">
      <c r="A351" s="296"/>
      <c r="B351" s="296" t="s">
        <v>5</v>
      </c>
      <c r="C351" s="154" t="s">
        <v>1</v>
      </c>
      <c r="D351" s="146" t="s">
        <v>1</v>
      </c>
      <c r="E351" s="258">
        <v>153</v>
      </c>
      <c r="F351" s="146" t="s">
        <v>1</v>
      </c>
      <c r="G351" s="258">
        <v>256</v>
      </c>
      <c r="H351" s="146" t="s">
        <v>1</v>
      </c>
      <c r="I351" s="258">
        <v>374</v>
      </c>
      <c r="J351" s="146" t="s">
        <v>1</v>
      </c>
      <c r="K351" s="258">
        <v>541</v>
      </c>
      <c r="L351" s="146" t="s">
        <v>1</v>
      </c>
      <c r="M351" s="146" t="s">
        <v>1</v>
      </c>
      <c r="N351" s="146" t="s">
        <v>1</v>
      </c>
      <c r="O351" s="146" t="s">
        <v>1</v>
      </c>
      <c r="P351" s="146" t="s">
        <v>1</v>
      </c>
      <c r="Q351" s="146" t="s">
        <v>1</v>
      </c>
      <c r="R351" s="146" t="s">
        <v>1</v>
      </c>
      <c r="S351" s="146" t="s">
        <v>1</v>
      </c>
      <c r="T351" s="146" t="s">
        <v>1</v>
      </c>
      <c r="U351" s="223" t="s">
        <v>1</v>
      </c>
    </row>
    <row r="352" spans="1:21" ht="10.8" customHeight="1">
      <c r="A352" s="387"/>
      <c r="B352" s="387" t="s">
        <v>7</v>
      </c>
      <c r="C352" s="378" t="s">
        <v>1</v>
      </c>
      <c r="D352" s="379" t="s">
        <v>1</v>
      </c>
      <c r="E352" s="371">
        <v>229</v>
      </c>
      <c r="F352" s="379" t="s">
        <v>1</v>
      </c>
      <c r="G352" s="371">
        <v>385</v>
      </c>
      <c r="H352" s="379" t="s">
        <v>1</v>
      </c>
      <c r="I352" s="371">
        <v>520</v>
      </c>
      <c r="J352" s="379" t="s">
        <v>1</v>
      </c>
      <c r="K352" s="371">
        <v>833</v>
      </c>
      <c r="L352" s="379" t="s">
        <v>1</v>
      </c>
      <c r="M352" s="379" t="s">
        <v>1</v>
      </c>
      <c r="N352" s="379" t="s">
        <v>1</v>
      </c>
      <c r="O352" s="379" t="s">
        <v>1</v>
      </c>
      <c r="P352" s="379" t="s">
        <v>1</v>
      </c>
      <c r="Q352" s="379" t="s">
        <v>1</v>
      </c>
      <c r="R352" s="379" t="s">
        <v>1</v>
      </c>
      <c r="S352" s="379" t="s">
        <v>1</v>
      </c>
      <c r="T352" s="379" t="s">
        <v>1</v>
      </c>
      <c r="U352" s="380" t="s">
        <v>1</v>
      </c>
    </row>
    <row r="374" spans="1:22" ht="40.799999999999997" customHeight="1">
      <c r="A374" s="449" t="s">
        <v>192</v>
      </c>
      <c r="B374" s="449"/>
      <c r="C374" s="449"/>
      <c r="D374" s="449"/>
      <c r="E374" s="449"/>
      <c r="F374" s="449"/>
      <c r="G374" s="449"/>
      <c r="H374" s="449"/>
      <c r="I374" s="449"/>
      <c r="J374" s="449"/>
      <c r="K374" s="449"/>
      <c r="L374" s="449"/>
      <c r="M374" s="449"/>
      <c r="N374" s="449"/>
      <c r="O374" s="449"/>
      <c r="P374" s="449"/>
      <c r="Q374" s="449"/>
      <c r="R374" s="449"/>
      <c r="S374" s="449"/>
      <c r="T374" s="449"/>
      <c r="U374" s="449"/>
      <c r="V374" s="449"/>
    </row>
    <row r="375" spans="1:22" ht="12.3" customHeight="1">
      <c r="A375" s="450" t="s">
        <v>69</v>
      </c>
      <c r="B375" s="451"/>
      <c r="C375" s="454" t="s">
        <v>14</v>
      </c>
      <c r="D375" s="455"/>
      <c r="E375" s="455"/>
      <c r="F375" s="455"/>
      <c r="G375" s="455"/>
      <c r="H375" s="455"/>
      <c r="I375" s="455"/>
      <c r="J375" s="455"/>
      <c r="K375" s="455"/>
      <c r="L375" s="455"/>
      <c r="M375" s="455"/>
      <c r="N375" s="455"/>
      <c r="O375" s="455"/>
      <c r="P375" s="455"/>
      <c r="Q375" s="455"/>
      <c r="R375" s="455"/>
      <c r="S375" s="455"/>
      <c r="T375" s="455"/>
      <c r="U375" s="455"/>
    </row>
    <row r="376" spans="1:22" ht="9" customHeight="1">
      <c r="A376" s="452"/>
      <c r="B376" s="453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2" ht="10.5" customHeight="1">
      <c r="A377" s="300">
        <v>6.3</v>
      </c>
      <c r="B377" s="298" t="s">
        <v>2</v>
      </c>
      <c r="C377" s="318">
        <v>52.1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2" ht="9" customHeight="1">
      <c r="A378" s="314"/>
      <c r="B378" s="296" t="s">
        <v>3</v>
      </c>
      <c r="C378" s="304">
        <v>178</v>
      </c>
      <c r="D378" s="258">
        <v>238</v>
      </c>
      <c r="E378" s="146" t="s">
        <v>1</v>
      </c>
      <c r="F378" s="258">
        <v>366</v>
      </c>
      <c r="G378" s="146" t="s">
        <v>1</v>
      </c>
      <c r="H378" s="258">
        <v>393</v>
      </c>
      <c r="I378" s="146" t="s">
        <v>1</v>
      </c>
      <c r="J378" s="258">
        <v>558</v>
      </c>
      <c r="K378" s="146" t="s">
        <v>1</v>
      </c>
      <c r="L378" s="146" t="s">
        <v>21</v>
      </c>
      <c r="M378" s="146" t="s">
        <v>1</v>
      </c>
      <c r="N378" s="146" t="s">
        <v>21</v>
      </c>
      <c r="O378" s="146" t="s">
        <v>1</v>
      </c>
      <c r="P378" s="146" t="s">
        <v>21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2" ht="9.3000000000000007" customHeight="1">
      <c r="A379" s="314"/>
      <c r="B379" s="296" t="s">
        <v>5</v>
      </c>
      <c r="C379" s="304">
        <v>185</v>
      </c>
      <c r="D379" s="258">
        <v>311</v>
      </c>
      <c r="E379" s="146" t="s">
        <v>1</v>
      </c>
      <c r="F379" s="258">
        <v>349</v>
      </c>
      <c r="G379" s="146" t="s">
        <v>1</v>
      </c>
      <c r="H379" s="258">
        <v>570</v>
      </c>
      <c r="I379" s="146" t="s">
        <v>1</v>
      </c>
      <c r="J379" s="258">
        <v>514</v>
      </c>
      <c r="K379" s="146" t="s">
        <v>1</v>
      </c>
      <c r="L379" s="258">
        <v>255</v>
      </c>
      <c r="M379" s="146" t="s">
        <v>1</v>
      </c>
      <c r="N379" s="258">
        <v>99</v>
      </c>
      <c r="O379" s="146" t="s">
        <v>1</v>
      </c>
      <c r="P379" s="146" t="s">
        <v>1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2" ht="10.8" customHeight="1">
      <c r="A380" s="315"/>
      <c r="B380" s="297" t="s">
        <v>7</v>
      </c>
      <c r="C380" s="307">
        <v>293</v>
      </c>
      <c r="D380" s="259">
        <v>465</v>
      </c>
      <c r="E380" s="149" t="s">
        <v>1</v>
      </c>
      <c r="F380" s="259">
        <v>632</v>
      </c>
      <c r="G380" s="149" t="s">
        <v>1</v>
      </c>
      <c r="H380" s="259">
        <v>899</v>
      </c>
      <c r="I380" s="149" t="s">
        <v>1</v>
      </c>
      <c r="J380" s="259">
        <v>1153</v>
      </c>
      <c r="K380" s="149" t="s">
        <v>1</v>
      </c>
      <c r="L380" s="259">
        <v>1081</v>
      </c>
      <c r="M380" s="149" t="s">
        <v>1</v>
      </c>
      <c r="N380" s="259">
        <v>541</v>
      </c>
      <c r="O380" s="149" t="s">
        <v>1</v>
      </c>
      <c r="P380" s="259">
        <v>632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2" ht="10.5" customHeight="1">
      <c r="A381" s="300">
        <v>7.1</v>
      </c>
      <c r="B381" s="298" t="s">
        <v>2</v>
      </c>
      <c r="C381" s="318">
        <v>57.1</v>
      </c>
      <c r="D381" s="262">
        <v>58.7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2" ht="9" customHeight="1">
      <c r="A382" s="314"/>
      <c r="B382" s="296" t="s">
        <v>3</v>
      </c>
      <c r="C382" s="304">
        <v>184</v>
      </c>
      <c r="D382" s="258">
        <v>247</v>
      </c>
      <c r="E382" s="146" t="s">
        <v>1</v>
      </c>
      <c r="F382" s="258">
        <v>357</v>
      </c>
      <c r="G382" s="146" t="s">
        <v>1</v>
      </c>
      <c r="H382" s="258">
        <v>398</v>
      </c>
      <c r="I382" s="146" t="s">
        <v>1</v>
      </c>
      <c r="J382" s="258">
        <v>587</v>
      </c>
      <c r="K382" s="146" t="s">
        <v>1</v>
      </c>
      <c r="L382" s="258">
        <v>544</v>
      </c>
      <c r="M382" s="146" t="s">
        <v>1</v>
      </c>
      <c r="N382" s="146" t="s">
        <v>21</v>
      </c>
      <c r="O382" s="146" t="s">
        <v>1</v>
      </c>
      <c r="P382" s="146" t="s">
        <v>21</v>
      </c>
      <c r="Q382" s="146" t="s">
        <v>21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2" ht="9.3000000000000007" customHeight="1">
      <c r="A383" s="314"/>
      <c r="B383" s="296" t="s">
        <v>5</v>
      </c>
      <c r="C383" s="304">
        <v>189</v>
      </c>
      <c r="D383" s="258">
        <v>308</v>
      </c>
      <c r="E383" s="146" t="s">
        <v>1</v>
      </c>
      <c r="F383" s="258">
        <v>343</v>
      </c>
      <c r="G383" s="146" t="s">
        <v>1</v>
      </c>
      <c r="H383" s="258">
        <v>564</v>
      </c>
      <c r="I383" s="146" t="s">
        <v>1</v>
      </c>
      <c r="J383" s="258">
        <v>546</v>
      </c>
      <c r="K383" s="146" t="s">
        <v>1</v>
      </c>
      <c r="L383" s="258">
        <v>382</v>
      </c>
      <c r="M383" s="146" t="s">
        <v>1</v>
      </c>
      <c r="N383" s="258">
        <v>88</v>
      </c>
      <c r="O383" s="146" t="s">
        <v>1</v>
      </c>
      <c r="P383" s="258">
        <v>346</v>
      </c>
      <c r="Q383" s="146" t="s">
        <v>21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2" ht="10.8" customHeight="1">
      <c r="A384" s="315"/>
      <c r="B384" s="297" t="s">
        <v>7</v>
      </c>
      <c r="C384" s="307">
        <v>297</v>
      </c>
      <c r="D384" s="259">
        <v>461</v>
      </c>
      <c r="E384" s="149" t="s">
        <v>1</v>
      </c>
      <c r="F384" s="259">
        <v>605</v>
      </c>
      <c r="G384" s="149" t="s">
        <v>1</v>
      </c>
      <c r="H384" s="259">
        <v>870</v>
      </c>
      <c r="I384" s="149" t="s">
        <v>1</v>
      </c>
      <c r="J384" s="259">
        <v>1144</v>
      </c>
      <c r="K384" s="149" t="s">
        <v>1</v>
      </c>
      <c r="L384" s="259">
        <v>1162</v>
      </c>
      <c r="M384" s="149" t="s">
        <v>1</v>
      </c>
      <c r="N384" s="259">
        <v>775</v>
      </c>
      <c r="O384" s="149" t="s">
        <v>1</v>
      </c>
      <c r="P384" s="259">
        <v>1004</v>
      </c>
      <c r="Q384" s="149" t="s">
        <v>21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300">
        <v>8</v>
      </c>
      <c r="B385" s="298" t="s">
        <v>2</v>
      </c>
      <c r="C385" s="318">
        <v>59</v>
      </c>
      <c r="D385" s="262">
        <v>63.5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314"/>
      <c r="B386" s="296" t="s">
        <v>3</v>
      </c>
      <c r="C386" s="304">
        <v>178</v>
      </c>
      <c r="D386" s="258">
        <v>241</v>
      </c>
      <c r="E386" s="258">
        <v>258</v>
      </c>
      <c r="F386" s="258">
        <v>351</v>
      </c>
      <c r="G386" s="258">
        <v>389</v>
      </c>
      <c r="H386" s="258">
        <v>399</v>
      </c>
      <c r="I386" s="258">
        <v>395</v>
      </c>
      <c r="J386" s="258">
        <v>613</v>
      </c>
      <c r="K386" s="258">
        <v>640</v>
      </c>
      <c r="L386" s="258">
        <v>622</v>
      </c>
      <c r="M386" s="258">
        <v>506</v>
      </c>
      <c r="N386" s="146" t="s">
        <v>21</v>
      </c>
      <c r="O386" s="146" t="s">
        <v>21</v>
      </c>
      <c r="P386" s="146" t="s">
        <v>21</v>
      </c>
      <c r="Q386" s="146" t="s">
        <v>21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314"/>
      <c r="B387" s="296" t="s">
        <v>5</v>
      </c>
      <c r="C387" s="304">
        <v>179</v>
      </c>
      <c r="D387" s="258">
        <v>295</v>
      </c>
      <c r="E387" s="258">
        <v>317</v>
      </c>
      <c r="F387" s="258">
        <v>338</v>
      </c>
      <c r="G387" s="258">
        <v>361</v>
      </c>
      <c r="H387" s="258">
        <v>559</v>
      </c>
      <c r="I387" s="258">
        <v>552</v>
      </c>
      <c r="J387" s="258">
        <v>577</v>
      </c>
      <c r="K387" s="258">
        <v>563</v>
      </c>
      <c r="L387" s="258">
        <v>472</v>
      </c>
      <c r="M387" s="258">
        <v>298</v>
      </c>
      <c r="N387" s="258">
        <v>315</v>
      </c>
      <c r="O387" s="258">
        <v>106</v>
      </c>
      <c r="P387" s="258">
        <v>610</v>
      </c>
      <c r="Q387" s="258">
        <v>468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315"/>
      <c r="B388" s="297" t="s">
        <v>7</v>
      </c>
      <c r="C388" s="307">
        <v>281</v>
      </c>
      <c r="D388" s="259">
        <v>443</v>
      </c>
      <c r="E388" s="259">
        <v>484</v>
      </c>
      <c r="F388" s="259">
        <v>587</v>
      </c>
      <c r="G388" s="259">
        <v>651</v>
      </c>
      <c r="H388" s="259">
        <v>852</v>
      </c>
      <c r="I388" s="259">
        <v>871</v>
      </c>
      <c r="J388" s="259">
        <v>1143</v>
      </c>
      <c r="K388" s="259">
        <v>1250</v>
      </c>
      <c r="L388" s="259">
        <v>1215</v>
      </c>
      <c r="M388" s="259">
        <v>1162</v>
      </c>
      <c r="N388" s="259">
        <v>944</v>
      </c>
      <c r="O388" s="259">
        <v>794</v>
      </c>
      <c r="P388" s="259">
        <v>503</v>
      </c>
      <c r="Q388" s="259">
        <v>1106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300">
        <v>9</v>
      </c>
      <c r="B389" s="298" t="s">
        <v>2</v>
      </c>
      <c r="C389" s="318">
        <v>59.4</v>
      </c>
      <c r="D389" s="262">
        <v>66.3</v>
      </c>
      <c r="E389" s="262">
        <v>71.599999999999994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314"/>
      <c r="B390" s="296" t="s">
        <v>3</v>
      </c>
      <c r="C390" s="304">
        <v>172</v>
      </c>
      <c r="D390" s="258">
        <v>234</v>
      </c>
      <c r="E390" s="258">
        <v>267</v>
      </c>
      <c r="F390" s="258">
        <v>343</v>
      </c>
      <c r="G390" s="258">
        <v>379</v>
      </c>
      <c r="H390" s="258">
        <v>395</v>
      </c>
      <c r="I390" s="258">
        <v>399</v>
      </c>
      <c r="J390" s="258">
        <v>624</v>
      </c>
      <c r="K390" s="258">
        <v>667</v>
      </c>
      <c r="L390" s="258">
        <v>677</v>
      </c>
      <c r="M390" s="258">
        <v>614</v>
      </c>
      <c r="N390" s="258">
        <v>479</v>
      </c>
      <c r="O390" s="258">
        <v>341</v>
      </c>
      <c r="P390" s="146" t="s">
        <v>21</v>
      </c>
      <c r="Q390" s="146" t="s">
        <v>21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314"/>
      <c r="B391" s="296" t="s">
        <v>5</v>
      </c>
      <c r="C391" s="304">
        <v>171</v>
      </c>
      <c r="D391" s="258">
        <v>282</v>
      </c>
      <c r="E391" s="258">
        <v>317</v>
      </c>
      <c r="F391" s="258">
        <v>333</v>
      </c>
      <c r="G391" s="258">
        <v>353</v>
      </c>
      <c r="H391" s="258">
        <v>550</v>
      </c>
      <c r="I391" s="258">
        <v>546</v>
      </c>
      <c r="J391" s="258">
        <v>597</v>
      </c>
      <c r="K391" s="258">
        <v>596</v>
      </c>
      <c r="L391" s="258">
        <v>538</v>
      </c>
      <c r="M391" s="258">
        <v>428</v>
      </c>
      <c r="N391" s="258">
        <v>137</v>
      </c>
      <c r="O391" s="258">
        <v>341</v>
      </c>
      <c r="P391" s="258">
        <v>195</v>
      </c>
      <c r="Q391" s="258">
        <v>708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315"/>
      <c r="B392" s="297" t="s">
        <v>7</v>
      </c>
      <c r="C392" s="307">
        <v>269</v>
      </c>
      <c r="D392" s="259">
        <v>424</v>
      </c>
      <c r="E392" s="259">
        <v>480</v>
      </c>
      <c r="F392" s="259">
        <v>570</v>
      </c>
      <c r="G392" s="259">
        <v>623</v>
      </c>
      <c r="H392" s="259">
        <v>829</v>
      </c>
      <c r="I392" s="259">
        <v>843</v>
      </c>
      <c r="J392" s="259">
        <v>1113</v>
      </c>
      <c r="K392" s="259">
        <v>1238</v>
      </c>
      <c r="L392" s="259">
        <v>1236</v>
      </c>
      <c r="M392" s="259">
        <v>1242</v>
      </c>
      <c r="N392" s="259">
        <v>1067</v>
      </c>
      <c r="O392" s="259">
        <v>967</v>
      </c>
      <c r="P392" s="259">
        <v>828</v>
      </c>
      <c r="Q392" s="259">
        <v>542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300">
        <v>10</v>
      </c>
      <c r="B393" s="298" t="s">
        <v>2</v>
      </c>
      <c r="C393" s="318">
        <v>59.2</v>
      </c>
      <c r="D393" s="262">
        <v>68.5</v>
      </c>
      <c r="E393" s="262">
        <v>75.2</v>
      </c>
      <c r="F393" s="262">
        <v>78.8</v>
      </c>
      <c r="G393" s="262">
        <v>77.3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314"/>
      <c r="B394" s="296" t="s">
        <v>3</v>
      </c>
      <c r="C394" s="304">
        <v>163</v>
      </c>
      <c r="D394" s="258">
        <v>222</v>
      </c>
      <c r="E394" s="258">
        <v>263</v>
      </c>
      <c r="F394" s="258">
        <v>333</v>
      </c>
      <c r="G394" s="258">
        <v>370</v>
      </c>
      <c r="H394" s="258">
        <v>388</v>
      </c>
      <c r="I394" s="258">
        <v>399</v>
      </c>
      <c r="J394" s="258">
        <v>619</v>
      </c>
      <c r="K394" s="258">
        <v>689</v>
      </c>
      <c r="L394" s="258">
        <v>713</v>
      </c>
      <c r="M394" s="258">
        <v>692</v>
      </c>
      <c r="N394" s="258">
        <v>596</v>
      </c>
      <c r="O394" s="258">
        <v>507</v>
      </c>
      <c r="P394" s="258">
        <v>487</v>
      </c>
      <c r="Q394" s="258">
        <v>240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314"/>
      <c r="B395" s="296" t="s">
        <v>5</v>
      </c>
      <c r="C395" s="304">
        <v>159</v>
      </c>
      <c r="D395" s="258">
        <v>261</v>
      </c>
      <c r="E395" s="258">
        <v>304</v>
      </c>
      <c r="F395" s="258">
        <v>325</v>
      </c>
      <c r="G395" s="258">
        <v>348</v>
      </c>
      <c r="H395" s="258">
        <v>539</v>
      </c>
      <c r="I395" s="258">
        <v>541</v>
      </c>
      <c r="J395" s="258">
        <v>598</v>
      </c>
      <c r="K395" s="258">
        <v>627</v>
      </c>
      <c r="L395" s="258">
        <v>585</v>
      </c>
      <c r="M395" s="258">
        <v>518</v>
      </c>
      <c r="N395" s="258">
        <v>293</v>
      </c>
      <c r="O395" s="258">
        <v>151</v>
      </c>
      <c r="P395" s="258">
        <v>248</v>
      </c>
      <c r="Q395" s="258">
        <v>134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315"/>
      <c r="B396" s="297" t="s">
        <v>7</v>
      </c>
      <c r="C396" s="307">
        <v>251</v>
      </c>
      <c r="D396" s="259">
        <v>393</v>
      </c>
      <c r="E396" s="259">
        <v>461</v>
      </c>
      <c r="F396" s="259">
        <v>548</v>
      </c>
      <c r="G396" s="259">
        <v>603</v>
      </c>
      <c r="H396" s="259">
        <v>803</v>
      </c>
      <c r="I396" s="259">
        <v>826</v>
      </c>
      <c r="J396" s="259">
        <v>1076</v>
      </c>
      <c r="K396" s="259">
        <v>1234</v>
      </c>
      <c r="L396" s="259">
        <v>1236</v>
      </c>
      <c r="M396" s="259">
        <v>1294</v>
      </c>
      <c r="N396" s="259">
        <v>1149</v>
      </c>
      <c r="O396" s="259">
        <v>1090</v>
      </c>
      <c r="P396" s="259">
        <v>1055</v>
      </c>
      <c r="Q396" s="259">
        <v>863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300">
        <v>11.2</v>
      </c>
      <c r="B397" s="298" t="s">
        <v>2</v>
      </c>
      <c r="C397" s="318">
        <v>58.4</v>
      </c>
      <c r="D397" s="262">
        <v>68.599999999999994</v>
      </c>
      <c r="E397" s="262">
        <v>77.2</v>
      </c>
      <c r="F397" s="262">
        <v>85.7</v>
      </c>
      <c r="G397" s="262">
        <v>86</v>
      </c>
      <c r="H397" s="262">
        <v>83.8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314"/>
      <c r="B398" s="296" t="s">
        <v>3</v>
      </c>
      <c r="C398" s="304">
        <v>157</v>
      </c>
      <c r="D398" s="258">
        <v>213</v>
      </c>
      <c r="E398" s="258">
        <v>254</v>
      </c>
      <c r="F398" s="258">
        <v>336</v>
      </c>
      <c r="G398" s="258">
        <v>362</v>
      </c>
      <c r="H398" s="258">
        <v>379</v>
      </c>
      <c r="I398" s="258">
        <v>394</v>
      </c>
      <c r="J398" s="258">
        <v>628</v>
      </c>
      <c r="K398" s="258">
        <v>697</v>
      </c>
      <c r="L398" s="258">
        <v>752</v>
      </c>
      <c r="M398" s="258">
        <v>744</v>
      </c>
      <c r="N398" s="258">
        <v>677</v>
      </c>
      <c r="O398" s="258">
        <v>623</v>
      </c>
      <c r="P398" s="258">
        <v>682</v>
      </c>
      <c r="Q398" s="258">
        <v>527</v>
      </c>
      <c r="R398" s="146" t="s">
        <v>21</v>
      </c>
      <c r="S398" s="146" t="s">
        <v>21</v>
      </c>
      <c r="T398" s="146" t="s">
        <v>21</v>
      </c>
      <c r="U398" s="223" t="s">
        <v>21</v>
      </c>
    </row>
    <row r="399" spans="1:21" ht="9.3000000000000007" customHeight="1">
      <c r="A399" s="314"/>
      <c r="B399" s="296" t="s">
        <v>5</v>
      </c>
      <c r="C399" s="304">
        <v>150</v>
      </c>
      <c r="D399" s="258">
        <v>245</v>
      </c>
      <c r="E399" s="258">
        <v>290</v>
      </c>
      <c r="F399" s="258">
        <v>331</v>
      </c>
      <c r="G399" s="258">
        <v>342</v>
      </c>
      <c r="H399" s="258">
        <v>525</v>
      </c>
      <c r="I399" s="258">
        <v>532</v>
      </c>
      <c r="J399" s="258">
        <v>611</v>
      </c>
      <c r="K399" s="258">
        <v>644</v>
      </c>
      <c r="L399" s="258">
        <v>631</v>
      </c>
      <c r="M399" s="258">
        <v>584</v>
      </c>
      <c r="N399" s="258">
        <v>401</v>
      </c>
      <c r="O399" s="258">
        <v>308</v>
      </c>
      <c r="P399" s="258">
        <v>391</v>
      </c>
      <c r="Q399" s="258">
        <v>316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315"/>
      <c r="B400" s="297" t="s">
        <v>7</v>
      </c>
      <c r="C400" s="307">
        <v>238</v>
      </c>
      <c r="D400" s="259">
        <v>371</v>
      </c>
      <c r="E400" s="259">
        <v>441</v>
      </c>
      <c r="F400" s="259">
        <v>552</v>
      </c>
      <c r="G400" s="259">
        <v>585</v>
      </c>
      <c r="H400" s="259">
        <v>773</v>
      </c>
      <c r="I400" s="259">
        <v>803</v>
      </c>
      <c r="J400" s="259">
        <v>1074</v>
      </c>
      <c r="K400" s="259">
        <v>1206</v>
      </c>
      <c r="L400" s="259">
        <v>1264</v>
      </c>
      <c r="M400" s="259">
        <v>1312</v>
      </c>
      <c r="N400" s="259">
        <v>1202</v>
      </c>
      <c r="O400" s="259">
        <v>1176</v>
      </c>
      <c r="P400" s="259">
        <v>1213</v>
      </c>
      <c r="Q400" s="259">
        <v>1090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300">
        <v>12.5</v>
      </c>
      <c r="B401" s="298" t="s">
        <v>2</v>
      </c>
      <c r="C401" s="318">
        <v>61.8</v>
      </c>
      <c r="D401" s="262">
        <v>78.599999999999994</v>
      </c>
      <c r="E401" s="262">
        <v>78.400000000000006</v>
      </c>
      <c r="F401" s="262">
        <v>99.1</v>
      </c>
      <c r="G401" s="262">
        <v>91.8</v>
      </c>
      <c r="H401" s="237">
        <v>108</v>
      </c>
      <c r="I401" s="262">
        <v>81.7</v>
      </c>
      <c r="J401" s="237">
        <v>114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314"/>
      <c r="B402" s="296" t="s">
        <v>3</v>
      </c>
      <c r="C402" s="304">
        <v>153</v>
      </c>
      <c r="D402" s="258">
        <v>215</v>
      </c>
      <c r="E402" s="258">
        <v>241</v>
      </c>
      <c r="F402" s="258">
        <v>336</v>
      </c>
      <c r="G402" s="258">
        <v>351</v>
      </c>
      <c r="H402" s="258">
        <v>383</v>
      </c>
      <c r="I402" s="258">
        <v>387</v>
      </c>
      <c r="J402" s="258">
        <v>647</v>
      </c>
      <c r="K402" s="258">
        <v>689</v>
      </c>
      <c r="L402" s="258">
        <v>765</v>
      </c>
      <c r="M402" s="258">
        <v>780</v>
      </c>
      <c r="N402" s="258">
        <v>735</v>
      </c>
      <c r="O402" s="258">
        <v>703</v>
      </c>
      <c r="P402" s="258">
        <v>889</v>
      </c>
      <c r="Q402" s="258">
        <v>722</v>
      </c>
      <c r="R402" s="146" t="s">
        <v>21</v>
      </c>
      <c r="S402" s="146" t="s">
        <v>21</v>
      </c>
      <c r="T402" s="146" t="s">
        <v>21</v>
      </c>
      <c r="U402" s="223" t="s">
        <v>21</v>
      </c>
    </row>
    <row r="403" spans="1:21" ht="9.3000000000000007" customHeight="1">
      <c r="A403" s="314"/>
      <c r="B403" s="296" t="s">
        <v>5</v>
      </c>
      <c r="C403" s="304">
        <v>151</v>
      </c>
      <c r="D403" s="258">
        <v>252</v>
      </c>
      <c r="E403" s="258">
        <v>268</v>
      </c>
      <c r="F403" s="258">
        <v>332</v>
      </c>
      <c r="G403" s="258">
        <v>334</v>
      </c>
      <c r="H403" s="258">
        <v>526</v>
      </c>
      <c r="I403" s="258">
        <v>522</v>
      </c>
      <c r="J403" s="258">
        <v>635</v>
      </c>
      <c r="K403" s="258">
        <v>644</v>
      </c>
      <c r="L403" s="258">
        <v>663</v>
      </c>
      <c r="M403" s="258">
        <v>631</v>
      </c>
      <c r="N403" s="258">
        <v>471</v>
      </c>
      <c r="O403" s="258">
        <v>417</v>
      </c>
      <c r="P403" s="258">
        <v>282</v>
      </c>
      <c r="Q403" s="258">
        <v>445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315"/>
      <c r="B404" s="297" t="s">
        <v>7</v>
      </c>
      <c r="C404" s="307">
        <v>233</v>
      </c>
      <c r="D404" s="259">
        <v>371</v>
      </c>
      <c r="E404" s="259">
        <v>408</v>
      </c>
      <c r="F404" s="259">
        <v>542</v>
      </c>
      <c r="G404" s="259">
        <v>563</v>
      </c>
      <c r="H404" s="259">
        <v>761</v>
      </c>
      <c r="I404" s="259">
        <v>779</v>
      </c>
      <c r="J404" s="259">
        <v>1074</v>
      </c>
      <c r="K404" s="259">
        <v>1166</v>
      </c>
      <c r="L404" s="259">
        <v>1242</v>
      </c>
      <c r="M404" s="259">
        <v>1309</v>
      </c>
      <c r="N404" s="259">
        <v>1243</v>
      </c>
      <c r="O404" s="259">
        <v>1227</v>
      </c>
      <c r="P404" s="259">
        <v>1402</v>
      </c>
      <c r="Q404" s="259">
        <v>1246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300">
        <v>14</v>
      </c>
      <c r="B405" s="298" t="s">
        <v>2</v>
      </c>
      <c r="C405" s="318">
        <v>59.3</v>
      </c>
      <c r="D405" s="262">
        <v>75.900000000000006</v>
      </c>
      <c r="E405" s="262">
        <v>78</v>
      </c>
      <c r="F405" s="262">
        <v>98</v>
      </c>
      <c r="G405" s="262">
        <v>98</v>
      </c>
      <c r="H405" s="237">
        <v>114</v>
      </c>
      <c r="I405" s="262">
        <v>92.3</v>
      </c>
      <c r="J405" s="237">
        <v>136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314"/>
      <c r="B406" s="296" t="s">
        <v>3</v>
      </c>
      <c r="C406" s="304">
        <v>145</v>
      </c>
      <c r="D406" s="258">
        <v>204</v>
      </c>
      <c r="E406" s="258">
        <v>230</v>
      </c>
      <c r="F406" s="258">
        <v>312</v>
      </c>
      <c r="G406" s="258">
        <v>354</v>
      </c>
      <c r="H406" s="258">
        <v>375</v>
      </c>
      <c r="I406" s="258">
        <v>378</v>
      </c>
      <c r="J406" s="258">
        <v>621</v>
      </c>
      <c r="K406" s="258">
        <v>698</v>
      </c>
      <c r="L406" s="258">
        <v>749</v>
      </c>
      <c r="M406" s="258">
        <v>817</v>
      </c>
      <c r="N406" s="258">
        <v>768</v>
      </c>
      <c r="O406" s="258">
        <v>762</v>
      </c>
      <c r="P406" s="258">
        <v>966</v>
      </c>
      <c r="Q406" s="258">
        <v>926</v>
      </c>
      <c r="R406" s="146" t="s">
        <v>21</v>
      </c>
      <c r="S406" s="146" t="s">
        <v>21</v>
      </c>
      <c r="T406" s="146" t="s">
        <v>21</v>
      </c>
      <c r="U406" s="223" t="s">
        <v>21</v>
      </c>
    </row>
    <row r="407" spans="1:21" ht="9.3000000000000007" customHeight="1">
      <c r="A407" s="314"/>
      <c r="B407" s="296" t="s">
        <v>5</v>
      </c>
      <c r="C407" s="304">
        <v>140</v>
      </c>
      <c r="D407" s="258">
        <v>233</v>
      </c>
      <c r="E407" s="258">
        <v>252</v>
      </c>
      <c r="F407" s="258">
        <v>312</v>
      </c>
      <c r="G407" s="258">
        <v>339</v>
      </c>
      <c r="H407" s="258">
        <v>516</v>
      </c>
      <c r="I407" s="258">
        <v>508</v>
      </c>
      <c r="J407" s="258">
        <v>615</v>
      </c>
      <c r="K407" s="258">
        <v>657</v>
      </c>
      <c r="L407" s="258">
        <v>660</v>
      </c>
      <c r="M407" s="258">
        <v>679</v>
      </c>
      <c r="N407" s="258">
        <v>528</v>
      </c>
      <c r="O407" s="258">
        <v>487</v>
      </c>
      <c r="P407" s="258">
        <v>407</v>
      </c>
      <c r="Q407" s="258">
        <v>309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315"/>
      <c r="B408" s="297" t="s">
        <v>7</v>
      </c>
      <c r="C408" s="307">
        <v>218</v>
      </c>
      <c r="D408" s="259">
        <v>346</v>
      </c>
      <c r="E408" s="259">
        <v>385</v>
      </c>
      <c r="F408" s="259">
        <v>502</v>
      </c>
      <c r="G408" s="259">
        <v>566</v>
      </c>
      <c r="H408" s="259">
        <v>741</v>
      </c>
      <c r="I408" s="259">
        <v>750</v>
      </c>
      <c r="J408" s="259">
        <v>1024</v>
      </c>
      <c r="K408" s="259">
        <v>1164</v>
      </c>
      <c r="L408" s="259">
        <v>1199</v>
      </c>
      <c r="M408" s="259">
        <v>1338</v>
      </c>
      <c r="N408" s="259">
        <v>1233</v>
      </c>
      <c r="O408" s="259">
        <v>1267</v>
      </c>
      <c r="P408" s="259">
        <v>1453</v>
      </c>
      <c r="Q408" s="259">
        <v>1433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300">
        <v>16</v>
      </c>
      <c r="B409" s="298" t="s">
        <v>2</v>
      </c>
      <c r="C409" s="318">
        <v>54.8</v>
      </c>
      <c r="D409" s="262">
        <v>72.5</v>
      </c>
      <c r="E409" s="262">
        <v>87.4</v>
      </c>
      <c r="F409" s="262">
        <v>95.2</v>
      </c>
      <c r="G409" s="237">
        <v>111</v>
      </c>
      <c r="H409" s="237">
        <v>114</v>
      </c>
      <c r="I409" s="237">
        <v>114</v>
      </c>
      <c r="J409" s="237">
        <v>151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314"/>
      <c r="B410" s="296" t="s">
        <v>3</v>
      </c>
      <c r="C410" s="304">
        <v>132</v>
      </c>
      <c r="D410" s="258">
        <v>191</v>
      </c>
      <c r="E410" s="258">
        <v>232</v>
      </c>
      <c r="F410" s="258">
        <v>294</v>
      </c>
      <c r="G410" s="258">
        <v>352</v>
      </c>
      <c r="H410" s="258">
        <v>357</v>
      </c>
      <c r="I410" s="258">
        <v>381</v>
      </c>
      <c r="J410" s="258">
        <v>589</v>
      </c>
      <c r="K410" s="258">
        <v>715</v>
      </c>
      <c r="L410" s="258">
        <v>712</v>
      </c>
      <c r="M410" s="258">
        <v>824</v>
      </c>
      <c r="N410" s="258">
        <v>828</v>
      </c>
      <c r="O410" s="258">
        <v>794</v>
      </c>
      <c r="P410" s="258">
        <v>1011</v>
      </c>
      <c r="Q410" s="258">
        <v>1002</v>
      </c>
      <c r="R410" s="146" t="s">
        <v>21</v>
      </c>
      <c r="S410" s="146" t="s">
        <v>21</v>
      </c>
      <c r="T410" s="146" t="s">
        <v>21</v>
      </c>
      <c r="U410" s="223" t="s">
        <v>21</v>
      </c>
    </row>
    <row r="411" spans="1:21" ht="9.3000000000000007" customHeight="1">
      <c r="A411" s="314"/>
      <c r="B411" s="296" t="s">
        <v>5</v>
      </c>
      <c r="C411" s="304">
        <v>125</v>
      </c>
      <c r="D411" s="258">
        <v>214</v>
      </c>
      <c r="E411" s="258">
        <v>258</v>
      </c>
      <c r="F411" s="258">
        <v>296</v>
      </c>
      <c r="G411" s="258">
        <v>340</v>
      </c>
      <c r="H411" s="258">
        <v>492</v>
      </c>
      <c r="I411" s="258">
        <v>508</v>
      </c>
      <c r="J411" s="258">
        <v>589</v>
      </c>
      <c r="K411" s="258">
        <v>682</v>
      </c>
      <c r="L411" s="258">
        <v>635</v>
      </c>
      <c r="M411" s="258">
        <v>705</v>
      </c>
      <c r="N411" s="258">
        <v>615</v>
      </c>
      <c r="O411" s="258">
        <v>543</v>
      </c>
      <c r="P411" s="258">
        <v>495</v>
      </c>
      <c r="Q411" s="258">
        <v>431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315"/>
      <c r="B412" s="297" t="s">
        <v>7</v>
      </c>
      <c r="C412" s="307">
        <v>195</v>
      </c>
      <c r="D412" s="259">
        <v>319</v>
      </c>
      <c r="E412" s="259">
        <v>385</v>
      </c>
      <c r="F412" s="259">
        <v>473</v>
      </c>
      <c r="G412" s="259">
        <v>555</v>
      </c>
      <c r="H412" s="259">
        <v>702</v>
      </c>
      <c r="I412" s="259">
        <v>738</v>
      </c>
      <c r="J412" s="259">
        <v>968</v>
      </c>
      <c r="K412" s="259">
        <v>1162</v>
      </c>
      <c r="L412" s="259">
        <v>1115</v>
      </c>
      <c r="M412" s="259">
        <v>1310</v>
      </c>
      <c r="N412" s="259">
        <v>1262</v>
      </c>
      <c r="O412" s="259">
        <v>1255</v>
      </c>
      <c r="P412" s="259">
        <v>1454</v>
      </c>
      <c r="Q412" s="259">
        <v>1482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300">
        <v>18</v>
      </c>
      <c r="B413" s="298" t="s">
        <v>2</v>
      </c>
      <c r="C413" s="318">
        <v>52.8</v>
      </c>
      <c r="D413" s="262">
        <v>65.3</v>
      </c>
      <c r="E413" s="262">
        <v>84.8</v>
      </c>
      <c r="F413" s="262">
        <v>86.4</v>
      </c>
      <c r="G413" s="237">
        <v>108</v>
      </c>
      <c r="H413" s="237">
        <v>105</v>
      </c>
      <c r="I413" s="237">
        <v>119</v>
      </c>
      <c r="J413" s="237">
        <v>130</v>
      </c>
      <c r="K413" s="237">
        <v>168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85" t="s">
        <v>21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314"/>
      <c r="B414" s="296" t="s">
        <v>3</v>
      </c>
      <c r="C414" s="304">
        <v>126</v>
      </c>
      <c r="D414" s="258">
        <v>179</v>
      </c>
      <c r="E414" s="258">
        <v>219</v>
      </c>
      <c r="F414" s="258">
        <v>277</v>
      </c>
      <c r="G414" s="258">
        <v>327</v>
      </c>
      <c r="H414" s="258">
        <v>339</v>
      </c>
      <c r="I414" s="258">
        <v>373</v>
      </c>
      <c r="J414" s="258">
        <v>551</v>
      </c>
      <c r="K414" s="258">
        <v>689</v>
      </c>
      <c r="L414" s="258">
        <v>714</v>
      </c>
      <c r="M414" s="258">
        <v>806</v>
      </c>
      <c r="N414" s="258">
        <v>800</v>
      </c>
      <c r="O414" s="258">
        <v>852</v>
      </c>
      <c r="P414" s="258">
        <v>1052</v>
      </c>
      <c r="Q414" s="258">
        <v>1044</v>
      </c>
      <c r="R414" s="146" t="s">
        <v>21</v>
      </c>
      <c r="S414" s="146" t="s">
        <v>21</v>
      </c>
      <c r="T414" s="146" t="s">
        <v>21</v>
      </c>
      <c r="U414" s="223" t="s">
        <v>21</v>
      </c>
    </row>
    <row r="415" spans="1:21" ht="9.3000000000000007" customHeight="1">
      <c r="A415" s="314"/>
      <c r="B415" s="296" t="s">
        <v>5</v>
      </c>
      <c r="C415" s="304">
        <v>117</v>
      </c>
      <c r="D415" s="258">
        <v>197</v>
      </c>
      <c r="E415" s="258">
        <v>239</v>
      </c>
      <c r="F415" s="258">
        <v>282</v>
      </c>
      <c r="G415" s="258">
        <v>319</v>
      </c>
      <c r="H415" s="258">
        <v>464</v>
      </c>
      <c r="I415" s="258">
        <v>498</v>
      </c>
      <c r="J415" s="258">
        <v>555</v>
      </c>
      <c r="K415" s="258">
        <v>663</v>
      </c>
      <c r="L415" s="258">
        <v>645</v>
      </c>
      <c r="M415" s="258">
        <v>700</v>
      </c>
      <c r="N415" s="258">
        <v>610</v>
      </c>
      <c r="O415" s="258">
        <v>631</v>
      </c>
      <c r="P415" s="258">
        <v>575</v>
      </c>
      <c r="Q415" s="258">
        <v>518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315"/>
      <c r="B416" s="297" t="s">
        <v>7</v>
      </c>
      <c r="C416" s="307">
        <v>184</v>
      </c>
      <c r="D416" s="259">
        <v>298</v>
      </c>
      <c r="E416" s="259">
        <v>359</v>
      </c>
      <c r="F416" s="259">
        <v>451</v>
      </c>
      <c r="G416" s="259">
        <v>514</v>
      </c>
      <c r="H416" s="259">
        <v>666</v>
      </c>
      <c r="I416" s="259">
        <v>718</v>
      </c>
      <c r="J416" s="259">
        <v>919</v>
      </c>
      <c r="K416" s="259">
        <v>1106</v>
      </c>
      <c r="L416" s="259">
        <v>1113</v>
      </c>
      <c r="M416" s="259">
        <v>1266</v>
      </c>
      <c r="N416" s="259">
        <v>1206</v>
      </c>
      <c r="O416" s="259">
        <v>1284</v>
      </c>
      <c r="P416" s="259">
        <v>1472</v>
      </c>
      <c r="Q416" s="259">
        <v>1482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300">
        <v>20</v>
      </c>
      <c r="B417" s="298" t="s">
        <v>2</v>
      </c>
      <c r="C417" s="318">
        <v>52.5</v>
      </c>
      <c r="D417" s="262">
        <v>62.1</v>
      </c>
      <c r="E417" s="262">
        <v>80.7</v>
      </c>
      <c r="F417" s="262">
        <v>82.7</v>
      </c>
      <c r="G417" s="237">
        <v>105</v>
      </c>
      <c r="H417" s="237">
        <v>104</v>
      </c>
      <c r="I417" s="237">
        <v>119</v>
      </c>
      <c r="J417" s="237">
        <v>137</v>
      </c>
      <c r="K417" s="237">
        <v>181</v>
      </c>
      <c r="L417" s="237">
        <v>183</v>
      </c>
      <c r="M417" s="237">
        <v>183</v>
      </c>
      <c r="N417" s="85" t="s">
        <v>21</v>
      </c>
      <c r="O417" s="85" t="s">
        <v>21</v>
      </c>
      <c r="P417" s="85" t="s">
        <v>21</v>
      </c>
      <c r="Q417" s="85" t="s">
        <v>21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314"/>
      <c r="B418" s="296" t="s">
        <v>3</v>
      </c>
      <c r="C418" s="304">
        <v>124</v>
      </c>
      <c r="D418" s="258">
        <v>168</v>
      </c>
      <c r="E418" s="258">
        <v>205</v>
      </c>
      <c r="F418" s="258">
        <v>259</v>
      </c>
      <c r="G418" s="258">
        <v>307</v>
      </c>
      <c r="H418" s="258">
        <v>329</v>
      </c>
      <c r="I418" s="258">
        <v>355</v>
      </c>
      <c r="J418" s="258">
        <v>534</v>
      </c>
      <c r="K418" s="258">
        <v>651</v>
      </c>
      <c r="L418" s="258">
        <v>675</v>
      </c>
      <c r="M418" s="258">
        <v>762</v>
      </c>
      <c r="N418" s="258">
        <v>804</v>
      </c>
      <c r="O418" s="258">
        <v>824</v>
      </c>
      <c r="P418" s="258">
        <v>1046</v>
      </c>
      <c r="Q418" s="258">
        <v>1098</v>
      </c>
      <c r="R418" s="146" t="s">
        <v>21</v>
      </c>
      <c r="S418" s="146" t="s">
        <v>21</v>
      </c>
      <c r="T418" s="146" t="s">
        <v>21</v>
      </c>
      <c r="U418" s="223" t="s">
        <v>21</v>
      </c>
    </row>
    <row r="419" spans="1:21" ht="9.3000000000000007" customHeight="1">
      <c r="A419" s="314"/>
      <c r="B419" s="296" t="s">
        <v>5</v>
      </c>
      <c r="C419" s="304">
        <v>113</v>
      </c>
      <c r="D419" s="258">
        <v>181</v>
      </c>
      <c r="E419" s="258">
        <v>219</v>
      </c>
      <c r="F419" s="258">
        <v>266</v>
      </c>
      <c r="G419" s="258">
        <v>303</v>
      </c>
      <c r="H419" s="258">
        <v>447</v>
      </c>
      <c r="I419" s="258">
        <v>476</v>
      </c>
      <c r="J419" s="258">
        <v>543</v>
      </c>
      <c r="K419" s="258">
        <v>633</v>
      </c>
      <c r="L419" s="258">
        <v>617</v>
      </c>
      <c r="M419" s="258">
        <v>672</v>
      </c>
      <c r="N419" s="258">
        <v>633</v>
      </c>
      <c r="O419" s="258">
        <v>625</v>
      </c>
      <c r="P419" s="258">
        <v>595</v>
      </c>
      <c r="Q419" s="258">
        <v>616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315"/>
      <c r="B420" s="297" t="s">
        <v>7</v>
      </c>
      <c r="C420" s="307">
        <v>179</v>
      </c>
      <c r="D420" s="259">
        <v>274</v>
      </c>
      <c r="E420" s="259">
        <v>330</v>
      </c>
      <c r="F420" s="259">
        <v>422</v>
      </c>
      <c r="G420" s="259">
        <v>484</v>
      </c>
      <c r="H420" s="259">
        <v>640</v>
      </c>
      <c r="I420" s="259">
        <v>681</v>
      </c>
      <c r="J420" s="259">
        <v>890</v>
      </c>
      <c r="K420" s="259">
        <v>1041</v>
      </c>
      <c r="L420" s="259">
        <v>1049</v>
      </c>
      <c r="M420" s="259">
        <v>1173</v>
      </c>
      <c r="N420" s="259">
        <v>1188</v>
      </c>
      <c r="O420" s="259">
        <v>1227</v>
      </c>
      <c r="P420" s="259">
        <v>1452</v>
      </c>
      <c r="Q420" s="259">
        <v>1511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300">
        <v>22.4</v>
      </c>
      <c r="B421" s="298" t="s">
        <v>2</v>
      </c>
      <c r="C421" s="318">
        <v>49.2</v>
      </c>
      <c r="D421" s="262">
        <v>58.5</v>
      </c>
      <c r="E421" s="262">
        <v>72.900000000000006</v>
      </c>
      <c r="F421" s="262">
        <v>80.900000000000006</v>
      </c>
      <c r="G421" s="262">
        <v>95.6</v>
      </c>
      <c r="H421" s="237">
        <v>101</v>
      </c>
      <c r="I421" s="237">
        <v>110</v>
      </c>
      <c r="J421" s="237">
        <v>137</v>
      </c>
      <c r="K421" s="237">
        <v>158</v>
      </c>
      <c r="L421" s="85" t="s">
        <v>1</v>
      </c>
      <c r="M421" s="237">
        <v>198</v>
      </c>
      <c r="N421" s="85" t="s">
        <v>1</v>
      </c>
      <c r="O421" s="85" t="s">
        <v>21</v>
      </c>
      <c r="P421" s="85" t="s">
        <v>1</v>
      </c>
      <c r="Q421" s="85" t="s">
        <v>21</v>
      </c>
      <c r="R421" s="85" t="s">
        <v>1</v>
      </c>
      <c r="S421" s="237">
        <v>130</v>
      </c>
      <c r="T421" s="85" t="s">
        <v>1</v>
      </c>
      <c r="U421" s="316">
        <v>192</v>
      </c>
    </row>
    <row r="422" spans="1:21" ht="9" customHeight="1">
      <c r="A422" s="314"/>
      <c r="B422" s="296" t="s">
        <v>3</v>
      </c>
      <c r="C422" s="304">
        <v>115</v>
      </c>
      <c r="D422" s="258">
        <v>156</v>
      </c>
      <c r="E422" s="258">
        <v>192</v>
      </c>
      <c r="F422" s="258">
        <v>250</v>
      </c>
      <c r="G422" s="258">
        <v>291</v>
      </c>
      <c r="H422" s="258">
        <v>308</v>
      </c>
      <c r="I422" s="258">
        <v>337</v>
      </c>
      <c r="J422" s="258">
        <v>500</v>
      </c>
      <c r="K422" s="258">
        <v>610</v>
      </c>
      <c r="L422" s="146" t="s">
        <v>1</v>
      </c>
      <c r="M422" s="258">
        <v>767</v>
      </c>
      <c r="N422" s="146" t="s">
        <v>1</v>
      </c>
      <c r="O422" s="258">
        <v>825</v>
      </c>
      <c r="P422" s="146" t="s">
        <v>1</v>
      </c>
      <c r="Q422" s="258">
        <v>1089</v>
      </c>
      <c r="R422" s="146" t="s">
        <v>1</v>
      </c>
      <c r="S422" s="146" t="s">
        <v>21</v>
      </c>
      <c r="T422" s="146" t="s">
        <v>1</v>
      </c>
      <c r="U422" s="223" t="s">
        <v>21</v>
      </c>
    </row>
    <row r="423" spans="1:21" ht="9.3000000000000007" customHeight="1">
      <c r="A423" s="314"/>
      <c r="B423" s="296" t="s">
        <v>5</v>
      </c>
      <c r="C423" s="304">
        <v>103</v>
      </c>
      <c r="D423" s="258">
        <v>164</v>
      </c>
      <c r="E423" s="258">
        <v>203</v>
      </c>
      <c r="F423" s="258">
        <v>258</v>
      </c>
      <c r="G423" s="258">
        <v>288</v>
      </c>
      <c r="H423" s="258">
        <v>404</v>
      </c>
      <c r="I423" s="258">
        <v>457</v>
      </c>
      <c r="J423" s="258">
        <v>513</v>
      </c>
      <c r="K423" s="258">
        <v>596</v>
      </c>
      <c r="L423" s="146" t="s">
        <v>1</v>
      </c>
      <c r="M423" s="258">
        <v>682</v>
      </c>
      <c r="N423" s="146" t="s">
        <v>1</v>
      </c>
      <c r="O423" s="258">
        <v>647</v>
      </c>
      <c r="P423" s="146" t="s">
        <v>1</v>
      </c>
      <c r="Q423" s="258">
        <v>632</v>
      </c>
      <c r="R423" s="146" t="s">
        <v>1</v>
      </c>
      <c r="S423" s="146" t="s">
        <v>21</v>
      </c>
      <c r="T423" s="146" t="s">
        <v>1</v>
      </c>
      <c r="U423" s="223" t="s">
        <v>21</v>
      </c>
    </row>
    <row r="424" spans="1:21" ht="10.95" customHeight="1">
      <c r="A424" s="315"/>
      <c r="B424" s="297" t="s">
        <v>7</v>
      </c>
      <c r="C424" s="307">
        <v>163</v>
      </c>
      <c r="D424" s="259">
        <v>251</v>
      </c>
      <c r="E424" s="259">
        <v>309</v>
      </c>
      <c r="F424" s="259">
        <v>409</v>
      </c>
      <c r="G424" s="259">
        <v>463</v>
      </c>
      <c r="H424" s="259">
        <v>584</v>
      </c>
      <c r="I424" s="259">
        <v>653</v>
      </c>
      <c r="J424" s="259">
        <v>834</v>
      </c>
      <c r="K424" s="259">
        <v>989</v>
      </c>
      <c r="L424" s="149" t="s">
        <v>1</v>
      </c>
      <c r="M424" s="259">
        <v>1170</v>
      </c>
      <c r="N424" s="149" t="s">
        <v>1</v>
      </c>
      <c r="O424" s="259">
        <v>1209</v>
      </c>
      <c r="P424" s="149" t="s">
        <v>1</v>
      </c>
      <c r="Q424" s="259">
        <v>1490</v>
      </c>
      <c r="R424" s="149" t="s">
        <v>1</v>
      </c>
      <c r="S424" s="149" t="s">
        <v>21</v>
      </c>
      <c r="T424" s="149" t="s">
        <v>1</v>
      </c>
      <c r="U424" s="225" t="s">
        <v>21</v>
      </c>
    </row>
    <row r="425" spans="1:21" ht="10.199999999999999" customHeight="1">
      <c r="A425" s="300">
        <v>25</v>
      </c>
      <c r="B425" s="298" t="s">
        <v>2</v>
      </c>
      <c r="C425" s="153" t="s">
        <v>1</v>
      </c>
      <c r="D425" s="85" t="s">
        <v>1</v>
      </c>
      <c r="E425" s="262">
        <v>69</v>
      </c>
      <c r="F425" s="85" t="s">
        <v>1</v>
      </c>
      <c r="G425" s="262">
        <v>91.2</v>
      </c>
      <c r="H425" s="85" t="s">
        <v>1</v>
      </c>
      <c r="I425" s="237">
        <v>109</v>
      </c>
      <c r="J425" s="85" t="s">
        <v>1</v>
      </c>
      <c r="K425" s="237">
        <v>163</v>
      </c>
      <c r="L425" s="85" t="s">
        <v>1</v>
      </c>
      <c r="M425" s="237">
        <v>213</v>
      </c>
      <c r="N425" s="85" t="s">
        <v>1</v>
      </c>
      <c r="O425" s="85" t="s">
        <v>1</v>
      </c>
      <c r="P425" s="85" t="s">
        <v>1</v>
      </c>
      <c r="Q425" s="85" t="s">
        <v>1</v>
      </c>
      <c r="R425" s="85" t="s">
        <v>1</v>
      </c>
      <c r="S425" s="85" t="s">
        <v>1</v>
      </c>
      <c r="T425" s="85" t="s">
        <v>1</v>
      </c>
      <c r="U425" s="221" t="s">
        <v>1</v>
      </c>
    </row>
    <row r="426" spans="1:21" ht="9" customHeight="1">
      <c r="A426" s="314"/>
      <c r="B426" s="296" t="s">
        <v>3</v>
      </c>
      <c r="C426" s="154" t="s">
        <v>1</v>
      </c>
      <c r="D426" s="146" t="s">
        <v>1</v>
      </c>
      <c r="E426" s="258">
        <v>180</v>
      </c>
      <c r="F426" s="146" t="s">
        <v>1</v>
      </c>
      <c r="G426" s="258">
        <v>271</v>
      </c>
      <c r="H426" s="146" t="s">
        <v>1</v>
      </c>
      <c r="I426" s="258">
        <v>328</v>
      </c>
      <c r="J426" s="146" t="s">
        <v>1</v>
      </c>
      <c r="K426" s="258">
        <v>591</v>
      </c>
      <c r="L426" s="146" t="s">
        <v>1</v>
      </c>
      <c r="M426" s="258">
        <v>724</v>
      </c>
      <c r="N426" s="146" t="s">
        <v>1</v>
      </c>
      <c r="O426" s="146" t="s">
        <v>1</v>
      </c>
      <c r="P426" s="146" t="s">
        <v>1</v>
      </c>
      <c r="Q426" s="146" t="s">
        <v>1</v>
      </c>
      <c r="R426" s="146" t="s">
        <v>1</v>
      </c>
      <c r="S426" s="146" t="s">
        <v>1</v>
      </c>
      <c r="T426" s="146" t="s">
        <v>1</v>
      </c>
      <c r="U426" s="223" t="s">
        <v>1</v>
      </c>
    </row>
    <row r="427" spans="1:21" ht="9.3000000000000007" customHeight="1">
      <c r="A427" s="314"/>
      <c r="B427" s="296" t="s">
        <v>5</v>
      </c>
      <c r="C427" s="154" t="s">
        <v>1</v>
      </c>
      <c r="D427" s="146" t="s">
        <v>1</v>
      </c>
      <c r="E427" s="258">
        <v>186</v>
      </c>
      <c r="F427" s="146" t="s">
        <v>1</v>
      </c>
      <c r="G427" s="258">
        <v>271</v>
      </c>
      <c r="H427" s="146" t="s">
        <v>1</v>
      </c>
      <c r="I427" s="258">
        <v>446</v>
      </c>
      <c r="J427" s="146" t="s">
        <v>1</v>
      </c>
      <c r="K427" s="258">
        <v>582</v>
      </c>
      <c r="L427" s="146" t="s">
        <v>1</v>
      </c>
      <c r="M427" s="258">
        <v>652</v>
      </c>
      <c r="N427" s="146" t="s">
        <v>1</v>
      </c>
      <c r="O427" s="146" t="s">
        <v>1</v>
      </c>
      <c r="P427" s="146" t="s">
        <v>1</v>
      </c>
      <c r="Q427" s="146" t="s">
        <v>1</v>
      </c>
      <c r="R427" s="146" t="s">
        <v>1</v>
      </c>
      <c r="S427" s="146" t="s">
        <v>1</v>
      </c>
      <c r="T427" s="146" t="s">
        <v>1</v>
      </c>
      <c r="U427" s="223" t="s">
        <v>1</v>
      </c>
    </row>
    <row r="428" spans="1:21" ht="10.95" customHeight="1">
      <c r="A428" s="315"/>
      <c r="B428" s="297" t="s">
        <v>7</v>
      </c>
      <c r="C428" s="155" t="s">
        <v>1</v>
      </c>
      <c r="D428" s="149" t="s">
        <v>1</v>
      </c>
      <c r="E428" s="259">
        <v>285</v>
      </c>
      <c r="F428" s="149" t="s">
        <v>1</v>
      </c>
      <c r="G428" s="259">
        <v>432</v>
      </c>
      <c r="H428" s="149" t="s">
        <v>1</v>
      </c>
      <c r="I428" s="259">
        <v>634</v>
      </c>
      <c r="J428" s="149" t="s">
        <v>1</v>
      </c>
      <c r="K428" s="259">
        <v>957</v>
      </c>
      <c r="L428" s="149" t="s">
        <v>1</v>
      </c>
      <c r="M428" s="259">
        <v>1101</v>
      </c>
      <c r="N428" s="149" t="s">
        <v>1</v>
      </c>
      <c r="O428" s="149" t="s">
        <v>1</v>
      </c>
      <c r="P428" s="149" t="s">
        <v>1</v>
      </c>
      <c r="Q428" s="149" t="s">
        <v>1</v>
      </c>
      <c r="R428" s="149" t="s">
        <v>1</v>
      </c>
      <c r="S428" s="149" t="s">
        <v>1</v>
      </c>
      <c r="T428" s="149" t="s">
        <v>1</v>
      </c>
      <c r="U428" s="225" t="s">
        <v>1</v>
      </c>
    </row>
    <row r="429" spans="1:21" ht="10.199999999999999" customHeight="1">
      <c r="A429" s="300">
        <v>28</v>
      </c>
      <c r="B429" s="298" t="s">
        <v>2</v>
      </c>
      <c r="C429" s="153" t="s">
        <v>1</v>
      </c>
      <c r="D429" s="85" t="s">
        <v>1</v>
      </c>
      <c r="E429" s="262">
        <v>64.900000000000006</v>
      </c>
      <c r="F429" s="85" t="s">
        <v>1</v>
      </c>
      <c r="G429" s="262">
        <v>89</v>
      </c>
      <c r="H429" s="85" t="s">
        <v>1</v>
      </c>
      <c r="I429" s="237">
        <v>105</v>
      </c>
      <c r="J429" s="85" t="s">
        <v>1</v>
      </c>
      <c r="K429" s="237">
        <v>162</v>
      </c>
      <c r="L429" s="85" t="s">
        <v>1</v>
      </c>
      <c r="M429" s="85" t="s">
        <v>1</v>
      </c>
      <c r="N429" s="85" t="s">
        <v>1</v>
      </c>
      <c r="O429" s="85" t="s">
        <v>1</v>
      </c>
      <c r="P429" s="85" t="s">
        <v>1</v>
      </c>
      <c r="Q429" s="85" t="s">
        <v>1</v>
      </c>
      <c r="R429" s="85" t="s">
        <v>1</v>
      </c>
      <c r="S429" s="85" t="s">
        <v>1</v>
      </c>
      <c r="T429" s="85" t="s">
        <v>1</v>
      </c>
      <c r="U429" s="221" t="s">
        <v>1</v>
      </c>
    </row>
    <row r="430" spans="1:21" ht="9" customHeight="1">
      <c r="A430" s="314"/>
      <c r="B430" s="296" t="s">
        <v>3</v>
      </c>
      <c r="C430" s="154" t="s">
        <v>1</v>
      </c>
      <c r="D430" s="146" t="s">
        <v>1</v>
      </c>
      <c r="E430" s="258">
        <v>167</v>
      </c>
      <c r="F430" s="146" t="s">
        <v>1</v>
      </c>
      <c r="G430" s="258">
        <v>262</v>
      </c>
      <c r="H430" s="146" t="s">
        <v>1</v>
      </c>
      <c r="I430" s="258">
        <v>307</v>
      </c>
      <c r="J430" s="146" t="s">
        <v>1</v>
      </c>
      <c r="K430" s="258">
        <v>552</v>
      </c>
      <c r="L430" s="146" t="s">
        <v>1</v>
      </c>
      <c r="M430" s="146" t="s">
        <v>1</v>
      </c>
      <c r="N430" s="146" t="s">
        <v>1</v>
      </c>
      <c r="O430" s="146" t="s">
        <v>1</v>
      </c>
      <c r="P430" s="146" t="s">
        <v>1</v>
      </c>
      <c r="Q430" s="146" t="s">
        <v>1</v>
      </c>
      <c r="R430" s="146" t="s">
        <v>1</v>
      </c>
      <c r="S430" s="146" t="s">
        <v>1</v>
      </c>
      <c r="T430" s="146" t="s">
        <v>1</v>
      </c>
      <c r="U430" s="223" t="s">
        <v>1</v>
      </c>
    </row>
    <row r="431" spans="1:21" ht="9.3000000000000007" customHeight="1">
      <c r="A431" s="296"/>
      <c r="B431" s="296" t="s">
        <v>5</v>
      </c>
      <c r="C431" s="154" t="s">
        <v>1</v>
      </c>
      <c r="D431" s="146" t="s">
        <v>1</v>
      </c>
      <c r="E431" s="258">
        <v>168</v>
      </c>
      <c r="F431" s="146" t="s">
        <v>1</v>
      </c>
      <c r="G431" s="258">
        <v>264</v>
      </c>
      <c r="H431" s="146" t="s">
        <v>1</v>
      </c>
      <c r="I431" s="258">
        <v>411</v>
      </c>
      <c r="J431" s="146" t="s">
        <v>1</v>
      </c>
      <c r="K431" s="258">
        <v>549</v>
      </c>
      <c r="L431" s="146" t="s">
        <v>1</v>
      </c>
      <c r="M431" s="146" t="s">
        <v>1</v>
      </c>
      <c r="N431" s="146" t="s">
        <v>1</v>
      </c>
      <c r="O431" s="146" t="s">
        <v>1</v>
      </c>
      <c r="P431" s="146" t="s">
        <v>1</v>
      </c>
      <c r="Q431" s="146" t="s">
        <v>1</v>
      </c>
      <c r="R431" s="146" t="s">
        <v>1</v>
      </c>
      <c r="S431" s="146" t="s">
        <v>1</v>
      </c>
      <c r="T431" s="146" t="s">
        <v>1</v>
      </c>
      <c r="U431" s="223" t="s">
        <v>1</v>
      </c>
    </row>
    <row r="432" spans="1:21" ht="10.8" customHeight="1">
      <c r="A432" s="387"/>
      <c r="B432" s="387" t="s">
        <v>7</v>
      </c>
      <c r="C432" s="378" t="s">
        <v>1</v>
      </c>
      <c r="D432" s="379" t="s">
        <v>1</v>
      </c>
      <c r="E432" s="371">
        <v>260</v>
      </c>
      <c r="F432" s="379" t="s">
        <v>1</v>
      </c>
      <c r="G432" s="371">
        <v>419</v>
      </c>
      <c r="H432" s="379" t="s">
        <v>1</v>
      </c>
      <c r="I432" s="371">
        <v>585</v>
      </c>
      <c r="J432" s="379" t="s">
        <v>1</v>
      </c>
      <c r="K432" s="371">
        <v>895</v>
      </c>
      <c r="L432" s="379" t="s">
        <v>1</v>
      </c>
      <c r="M432" s="379" t="s">
        <v>1</v>
      </c>
      <c r="N432" s="379" t="s">
        <v>1</v>
      </c>
      <c r="O432" s="379" t="s">
        <v>1</v>
      </c>
      <c r="P432" s="379" t="s">
        <v>1</v>
      </c>
      <c r="Q432" s="379" t="s">
        <v>1</v>
      </c>
      <c r="R432" s="379" t="s">
        <v>1</v>
      </c>
      <c r="S432" s="379" t="s">
        <v>1</v>
      </c>
      <c r="T432" s="379" t="s">
        <v>1</v>
      </c>
      <c r="U432" s="380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74:V374"/>
    <mergeCell ref="A375:B376"/>
    <mergeCell ref="C375:U375"/>
    <mergeCell ref="A214:V214"/>
    <mergeCell ref="A134:V134"/>
    <mergeCell ref="A215:B216"/>
    <mergeCell ref="C215:U215"/>
    <mergeCell ref="A294:V294"/>
    <mergeCell ref="A295:B296"/>
    <mergeCell ref="C295:U29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436"/>
  <sheetViews>
    <sheetView workbookViewId="0">
      <selection activeCell="U148" sqref="U148"/>
    </sheetView>
  </sheetViews>
  <sheetFormatPr defaultRowHeight="13.2"/>
  <sheetData>
    <row r="1" spans="1:28" ht="33.75" customHeight="1">
      <c r="A1" s="449" t="s">
        <v>193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</row>
    <row r="2" spans="1:28" ht="12.75" customHeight="1">
      <c r="A2" s="450" t="s">
        <v>11</v>
      </c>
      <c r="B2" s="450" t="s">
        <v>12</v>
      </c>
      <c r="C2" s="450"/>
      <c r="D2" s="470" t="s">
        <v>13</v>
      </c>
      <c r="E2" s="454" t="s">
        <v>14</v>
      </c>
      <c r="F2" s="455"/>
      <c r="G2" s="455"/>
      <c r="H2" s="455"/>
      <c r="I2" s="455"/>
      <c r="J2" s="455"/>
      <c r="K2" s="455"/>
      <c r="L2" s="455"/>
      <c r="M2" s="454" t="s">
        <v>14</v>
      </c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</row>
    <row r="3" spans="1:28" ht="12" customHeight="1">
      <c r="A3" s="452"/>
      <c r="B3" s="452"/>
      <c r="C3" s="452"/>
      <c r="D3" s="471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68">
        <v>1800</v>
      </c>
      <c r="C4" s="468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65">
        <v>1500</v>
      </c>
      <c r="C5" s="465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65">
        <v>1200</v>
      </c>
      <c r="C6" s="465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67">
        <v>1000</v>
      </c>
      <c r="C7" s="467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68">
        <v>1800</v>
      </c>
      <c r="C8" s="468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65">
        <v>1500</v>
      </c>
      <c r="C9" s="465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65">
        <v>1200</v>
      </c>
      <c r="C10" s="465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67">
        <v>1000</v>
      </c>
      <c r="C11" s="467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68">
        <v>1800</v>
      </c>
      <c r="C12" s="468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65">
        <v>1500</v>
      </c>
      <c r="C13" s="465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65">
        <v>1200</v>
      </c>
      <c r="C14" s="465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67">
        <v>1000</v>
      </c>
      <c r="C15" s="467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68">
        <v>1800</v>
      </c>
      <c r="C16" s="468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312" t="s">
        <v>771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65">
        <v>1500</v>
      </c>
      <c r="C17" s="465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65">
        <v>1200</v>
      </c>
      <c r="C18" s="465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67">
        <v>1000</v>
      </c>
      <c r="C19" s="467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68">
        <v>1800</v>
      </c>
      <c r="C20" s="468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427" t="s">
        <v>589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65">
        <v>1500</v>
      </c>
      <c r="C21" s="465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65">
        <v>1200</v>
      </c>
      <c r="C22" s="465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67">
        <v>1000</v>
      </c>
      <c r="C23" s="467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68">
        <v>1800</v>
      </c>
      <c r="C24" s="468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65">
        <v>1500</v>
      </c>
      <c r="C25" s="465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65">
        <v>1200</v>
      </c>
      <c r="C26" s="465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67">
        <v>1000</v>
      </c>
      <c r="C27" s="467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68">
        <v>1800</v>
      </c>
      <c r="C28" s="468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65">
        <v>1500</v>
      </c>
      <c r="C29" s="465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65">
        <v>1200</v>
      </c>
      <c r="C30" s="465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67">
        <v>1000</v>
      </c>
      <c r="C31" s="467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68">
        <v>1800</v>
      </c>
      <c r="C32" s="468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65">
        <v>1500</v>
      </c>
      <c r="C33" s="465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65">
        <v>1200</v>
      </c>
      <c r="C34" s="465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67">
        <v>1000</v>
      </c>
      <c r="C35" s="467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68">
        <v>1800</v>
      </c>
      <c r="C36" s="468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65">
        <v>1500</v>
      </c>
      <c r="C37" s="465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65">
        <v>1200</v>
      </c>
      <c r="C38" s="465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67">
        <v>1000</v>
      </c>
      <c r="C39" s="467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68">
        <v>1800</v>
      </c>
      <c r="C40" s="468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65">
        <v>1500</v>
      </c>
      <c r="C41" s="465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65">
        <v>1200</v>
      </c>
      <c r="C42" s="465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67">
        <v>1000</v>
      </c>
      <c r="C43" s="467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68">
        <v>1800</v>
      </c>
      <c r="C44" s="468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65">
        <v>1500</v>
      </c>
      <c r="C45" s="465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65">
        <v>1200</v>
      </c>
      <c r="C46" s="465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67">
        <v>1000</v>
      </c>
      <c r="C47" s="467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68">
        <v>1800</v>
      </c>
      <c r="C48" s="468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65">
        <v>1500</v>
      </c>
      <c r="C49" s="465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65">
        <v>1200</v>
      </c>
      <c r="C50" s="465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67">
        <v>1000</v>
      </c>
      <c r="C51" s="467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68">
        <v>1800</v>
      </c>
      <c r="C52" s="468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65">
        <v>1500</v>
      </c>
      <c r="C53" s="465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65">
        <v>1200</v>
      </c>
      <c r="C54" s="465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67">
        <v>1000</v>
      </c>
      <c r="C55" s="467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68">
        <v>1800</v>
      </c>
      <c r="C56" s="468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65">
        <v>1500</v>
      </c>
      <c r="C57" s="465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65">
        <v>1200</v>
      </c>
      <c r="C58" s="465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67">
        <v>1000</v>
      </c>
      <c r="C59" s="467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68">
        <v>1800</v>
      </c>
      <c r="C60" s="468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65">
        <v>1500</v>
      </c>
      <c r="C61" s="465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65">
        <v>1200</v>
      </c>
      <c r="C62" s="465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8"/>
      <c r="B63" s="466">
        <v>1000</v>
      </c>
      <c r="C63" s="466"/>
      <c r="D63" s="388">
        <v>8.9</v>
      </c>
      <c r="E63" s="378" t="s">
        <v>1</v>
      </c>
      <c r="F63" s="371">
        <v>13</v>
      </c>
      <c r="G63" s="379" t="s">
        <v>1</v>
      </c>
      <c r="H63" s="371">
        <v>23</v>
      </c>
      <c r="I63" s="379" t="s">
        <v>1</v>
      </c>
      <c r="J63" s="371">
        <v>39</v>
      </c>
      <c r="K63" s="379" t="s">
        <v>1</v>
      </c>
      <c r="L63" s="372">
        <v>71</v>
      </c>
      <c r="M63" s="378" t="s">
        <v>1</v>
      </c>
      <c r="N63" s="371">
        <v>101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s="317" customFormat="1" ht="12" customHeight="1">
      <c r="A64" s="367"/>
      <c r="B64" s="345"/>
      <c r="C64" s="345"/>
      <c r="D64" s="346"/>
      <c r="E64" s="377"/>
      <c r="F64" s="345"/>
      <c r="G64" s="377"/>
      <c r="H64" s="345"/>
      <c r="I64" s="377"/>
      <c r="J64" s="345"/>
      <c r="K64" s="377"/>
      <c r="L64" s="345"/>
      <c r="M64" s="377"/>
      <c r="N64" s="345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</row>
    <row r="65" spans="1:28" s="317" customFormat="1" ht="12" customHeight="1">
      <c r="A65" s="367"/>
      <c r="B65" s="345"/>
      <c r="C65" s="345"/>
      <c r="D65" s="346"/>
      <c r="E65" s="377"/>
      <c r="F65" s="345"/>
      <c r="G65" s="377"/>
      <c r="H65" s="345"/>
      <c r="I65" s="377"/>
      <c r="J65" s="345"/>
      <c r="K65" s="377"/>
      <c r="L65" s="345"/>
      <c r="M65" s="377"/>
      <c r="N65" s="345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</row>
    <row r="66" spans="1:28" s="317" customFormat="1" ht="12" customHeight="1">
      <c r="A66" s="367"/>
      <c r="B66" s="345"/>
      <c r="C66" s="345"/>
      <c r="D66" s="346"/>
      <c r="E66" s="377"/>
      <c r="F66" s="345"/>
      <c r="G66" s="377"/>
      <c r="H66" s="345"/>
      <c r="I66" s="377"/>
      <c r="J66" s="345"/>
      <c r="K66" s="377"/>
      <c r="L66" s="345"/>
      <c r="M66" s="377"/>
      <c r="N66" s="345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</row>
    <row r="67" spans="1:28" s="317" customFormat="1" ht="12" customHeight="1">
      <c r="A67" s="367"/>
      <c r="B67" s="345"/>
      <c r="C67" s="345"/>
      <c r="D67" s="346"/>
      <c r="E67" s="377"/>
      <c r="F67" s="345"/>
      <c r="G67" s="377"/>
      <c r="H67" s="345"/>
      <c r="I67" s="377"/>
      <c r="J67" s="345"/>
      <c r="K67" s="377"/>
      <c r="L67" s="345"/>
      <c r="M67" s="377"/>
      <c r="N67" s="345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</row>
    <row r="68" spans="1:28" s="317" customFormat="1" ht="12" customHeight="1">
      <c r="A68" s="367"/>
      <c r="B68" s="345"/>
      <c r="C68" s="345"/>
      <c r="D68" s="346"/>
      <c r="E68" s="377"/>
      <c r="F68" s="345"/>
      <c r="G68" s="377"/>
      <c r="H68" s="345"/>
      <c r="I68" s="377"/>
      <c r="J68" s="345"/>
      <c r="K68" s="377"/>
      <c r="L68" s="345"/>
      <c r="M68" s="377"/>
      <c r="N68" s="345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</row>
    <row r="69" spans="1:28" s="317" customFormat="1" ht="12" customHeight="1">
      <c r="A69" s="367"/>
      <c r="B69" s="345"/>
      <c r="C69" s="345"/>
      <c r="D69" s="346"/>
      <c r="E69" s="377"/>
      <c r="F69" s="345"/>
      <c r="G69" s="377"/>
      <c r="H69" s="345"/>
      <c r="I69" s="377"/>
      <c r="J69" s="345"/>
      <c r="K69" s="377"/>
      <c r="L69" s="345"/>
      <c r="M69" s="377"/>
      <c r="N69" s="345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</row>
    <row r="70" spans="1:28" s="317" customFormat="1" ht="12" customHeight="1">
      <c r="A70" s="367"/>
      <c r="B70" s="345"/>
      <c r="C70" s="345"/>
      <c r="D70" s="346"/>
      <c r="E70" s="377"/>
      <c r="F70" s="345"/>
      <c r="G70" s="377"/>
      <c r="H70" s="345"/>
      <c r="I70" s="377"/>
      <c r="J70" s="345"/>
      <c r="K70" s="377"/>
      <c r="L70" s="345"/>
      <c r="M70" s="377"/>
      <c r="N70" s="345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</row>
    <row r="71" spans="1:28" s="317" customFormat="1" ht="12" customHeight="1">
      <c r="A71" s="367"/>
      <c r="B71" s="345"/>
      <c r="C71" s="345"/>
      <c r="D71" s="346"/>
      <c r="E71" s="377"/>
      <c r="F71" s="345"/>
      <c r="G71" s="377"/>
      <c r="H71" s="345"/>
      <c r="I71" s="377"/>
      <c r="J71" s="345"/>
      <c r="K71" s="377"/>
      <c r="L71" s="345"/>
      <c r="M71" s="377"/>
      <c r="N71" s="345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</row>
    <row r="72" spans="1:28" s="317" customFormat="1" ht="12" customHeight="1">
      <c r="A72" s="367"/>
      <c r="B72" s="345"/>
      <c r="C72" s="345"/>
      <c r="D72" s="346"/>
      <c r="E72" s="377"/>
      <c r="F72" s="345"/>
      <c r="G72" s="377"/>
      <c r="H72" s="345"/>
      <c r="I72" s="377"/>
      <c r="J72" s="345"/>
      <c r="K72" s="377"/>
      <c r="L72" s="345"/>
      <c r="M72" s="377"/>
      <c r="N72" s="345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</row>
    <row r="73" spans="1:28" s="317" customFormat="1" ht="12" customHeight="1">
      <c r="A73" s="367"/>
      <c r="B73" s="345"/>
      <c r="C73" s="345"/>
      <c r="D73" s="346"/>
      <c r="E73" s="377"/>
      <c r="F73" s="345"/>
      <c r="G73" s="377"/>
      <c r="H73" s="345"/>
      <c r="I73" s="377"/>
      <c r="J73" s="345"/>
      <c r="K73" s="377"/>
      <c r="L73" s="345"/>
      <c r="M73" s="377"/>
      <c r="N73" s="345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</row>
    <row r="74" spans="1:28" s="317" customFormat="1" ht="12" customHeight="1">
      <c r="A74" s="367"/>
      <c r="B74" s="345"/>
      <c r="C74" s="345"/>
      <c r="D74" s="346"/>
      <c r="E74" s="377"/>
      <c r="F74" s="345"/>
      <c r="G74" s="377"/>
      <c r="H74" s="345"/>
      <c r="I74" s="377"/>
      <c r="J74" s="345"/>
      <c r="K74" s="377"/>
      <c r="L74" s="345"/>
      <c r="M74" s="377"/>
      <c r="N74" s="345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</row>
    <row r="75" spans="1:28" s="317" customFormat="1" ht="12" customHeight="1">
      <c r="A75" s="367"/>
      <c r="B75" s="345"/>
      <c r="C75" s="345"/>
      <c r="D75" s="346"/>
      <c r="E75" s="377"/>
      <c r="F75" s="345"/>
      <c r="G75" s="377"/>
      <c r="H75" s="345"/>
      <c r="I75" s="377"/>
      <c r="J75" s="345"/>
      <c r="K75" s="377"/>
      <c r="L75" s="345"/>
      <c r="M75" s="377"/>
      <c r="N75" s="345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</row>
    <row r="77" spans="1:28" ht="36.75" customHeight="1">
      <c r="A77" s="449" t="s">
        <v>234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</row>
    <row r="78" spans="1:28" ht="11.25" customHeight="1">
      <c r="A78" s="451" t="s">
        <v>69</v>
      </c>
      <c r="B78" s="473" t="s">
        <v>14</v>
      </c>
      <c r="C78" s="474"/>
      <c r="D78" s="474"/>
      <c r="E78" s="474"/>
      <c r="F78" s="474"/>
      <c r="G78" s="474"/>
      <c r="H78" s="474"/>
      <c r="I78" s="474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</row>
    <row r="79" spans="1:28" ht="11.25" customHeight="1">
      <c r="A79" s="453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6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7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7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7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7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7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7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7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7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7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7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7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7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7" t="s">
        <v>1</v>
      </c>
      <c r="Z94" s="337" t="s">
        <v>1</v>
      </c>
      <c r="AA94" s="337" t="s">
        <v>1</v>
      </c>
      <c r="AB94" s="462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63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63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63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63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63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63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63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63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63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63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89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64"/>
    </row>
    <row r="106" spans="1:28" ht="11.25" customHeight="1">
      <c r="A106" s="73">
        <v>25</v>
      </c>
      <c r="B106" s="343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89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58" t="s">
        <v>235</v>
      </c>
    </row>
    <row r="107" spans="1:28" ht="11.25" customHeight="1">
      <c r="A107" s="73">
        <v>28</v>
      </c>
      <c r="B107" s="343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89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59"/>
    </row>
    <row r="108" spans="1:28" ht="11.25" customHeight="1">
      <c r="A108" s="75">
        <v>31.5</v>
      </c>
      <c r="B108" s="343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89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59"/>
    </row>
    <row r="109" spans="1:28" ht="11.25" customHeight="1">
      <c r="A109" s="75">
        <v>35.5</v>
      </c>
      <c r="B109" s="343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89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59"/>
    </row>
    <row r="110" spans="1:28" ht="11.25" customHeight="1">
      <c r="A110" s="73">
        <v>40</v>
      </c>
      <c r="B110" s="343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89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59"/>
    </row>
    <row r="111" spans="1:28" ht="11.25" customHeight="1">
      <c r="A111" s="73">
        <v>45</v>
      </c>
      <c r="B111" s="343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89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59"/>
    </row>
    <row r="112" spans="1:28" ht="11.25" customHeight="1">
      <c r="A112" s="73">
        <v>50</v>
      </c>
      <c r="B112" s="343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89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59"/>
    </row>
    <row r="113" spans="1:28" ht="11.25" customHeight="1">
      <c r="A113" s="73">
        <v>56</v>
      </c>
      <c r="B113" s="343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89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59"/>
    </row>
    <row r="114" spans="1:28" ht="11.25" customHeight="1">
      <c r="A114" s="73">
        <v>63</v>
      </c>
      <c r="B114" s="343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89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59"/>
    </row>
    <row r="115" spans="1:28" ht="11.25" customHeight="1">
      <c r="A115" s="73">
        <v>71</v>
      </c>
      <c r="B115" s="343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89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59"/>
    </row>
    <row r="116" spans="1:28" ht="11.25" customHeight="1">
      <c r="A116" s="73">
        <v>80</v>
      </c>
      <c r="B116" s="343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89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59"/>
    </row>
    <row r="117" spans="1:28" ht="11.25" customHeight="1">
      <c r="A117" s="73">
        <v>90</v>
      </c>
      <c r="B117" s="343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89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59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60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56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57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57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57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57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57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57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57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57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57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57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57"/>
    </row>
    <row r="131" spans="1:28" ht="11.25" customHeight="1">
      <c r="A131" s="381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72"/>
    </row>
    <row r="134" spans="1:28" ht="40.799999999999997" customHeight="1">
      <c r="A134" s="449" t="s">
        <v>236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  <c r="U134" s="449"/>
    </row>
    <row r="135" spans="1:28" ht="12" customHeight="1">
      <c r="A135" s="450" t="s">
        <v>69</v>
      </c>
      <c r="B135" s="451"/>
      <c r="C135" s="454" t="s">
        <v>14</v>
      </c>
      <c r="D135" s="455"/>
      <c r="E135" s="455"/>
      <c r="F135" s="455"/>
      <c r="G135" s="455"/>
      <c r="H135" s="455"/>
      <c r="I135" s="455"/>
      <c r="J135" s="455"/>
      <c r="K135" s="455"/>
      <c r="L135" s="455"/>
      <c r="M135" s="455"/>
      <c r="N135" s="455"/>
      <c r="O135" s="455"/>
      <c r="P135" s="455"/>
      <c r="Q135" s="455"/>
      <c r="R135" s="455"/>
      <c r="S135" s="455"/>
      <c r="T135" s="455"/>
    </row>
    <row r="136" spans="1:28" ht="9" customHeight="1">
      <c r="A136" s="452"/>
      <c r="B136" s="453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8" ht="10.199999999999999" customHeight="1">
      <c r="A137" s="431">
        <v>22.4</v>
      </c>
      <c r="B137" s="184" t="s">
        <v>2</v>
      </c>
      <c r="C137" s="153" t="s">
        <v>1</v>
      </c>
      <c r="D137" s="85" t="s">
        <v>1</v>
      </c>
      <c r="E137" s="85" t="s">
        <v>1</v>
      </c>
      <c r="F137" s="85" t="s">
        <v>1</v>
      </c>
      <c r="G137" s="85" t="s">
        <v>1</v>
      </c>
      <c r="H137" s="85" t="s">
        <v>1</v>
      </c>
      <c r="I137" s="85" t="s">
        <v>1</v>
      </c>
      <c r="J137" s="85" t="s">
        <v>1</v>
      </c>
      <c r="K137" s="237">
        <v>216</v>
      </c>
      <c r="L137" s="85" t="s">
        <v>1</v>
      </c>
      <c r="M137" s="237">
        <v>252</v>
      </c>
      <c r="N137" s="85" t="s">
        <v>1</v>
      </c>
      <c r="O137" s="237">
        <v>316</v>
      </c>
      <c r="P137" s="85" t="s">
        <v>1</v>
      </c>
      <c r="Q137" s="237">
        <v>364</v>
      </c>
      <c r="R137" s="85" t="s">
        <v>1</v>
      </c>
      <c r="S137" s="237">
        <v>336</v>
      </c>
      <c r="T137" s="221" t="s">
        <v>1</v>
      </c>
    </row>
    <row r="138" spans="1:28" ht="9" customHeight="1">
      <c r="A138" s="432"/>
      <c r="B138" s="2" t="s">
        <v>3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332</v>
      </c>
      <c r="L138" s="146" t="s">
        <v>1</v>
      </c>
      <c r="M138" s="258">
        <v>461</v>
      </c>
      <c r="N138" s="146" t="s">
        <v>1</v>
      </c>
      <c r="O138" s="258">
        <v>531</v>
      </c>
      <c r="P138" s="146" t="s">
        <v>1</v>
      </c>
      <c r="Q138" s="258">
        <v>693</v>
      </c>
      <c r="R138" s="146" t="s">
        <v>1</v>
      </c>
      <c r="S138" s="258">
        <v>779</v>
      </c>
      <c r="T138" s="223" t="s">
        <v>1</v>
      </c>
    </row>
    <row r="139" spans="1:28" ht="9" customHeight="1">
      <c r="A139" s="432"/>
      <c r="B139" s="2" t="s">
        <v>5</v>
      </c>
      <c r="C139" s="154" t="s">
        <v>1</v>
      </c>
      <c r="D139" s="146" t="s">
        <v>1</v>
      </c>
      <c r="E139" s="146" t="s">
        <v>1</v>
      </c>
      <c r="F139" s="146" t="s">
        <v>1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58">
        <v>504</v>
      </c>
      <c r="L139" s="146" t="s">
        <v>1</v>
      </c>
      <c r="M139" s="258">
        <v>562</v>
      </c>
      <c r="N139" s="146" t="s">
        <v>1</v>
      </c>
      <c r="O139" s="258">
        <v>616</v>
      </c>
      <c r="P139" s="146" t="s">
        <v>1</v>
      </c>
      <c r="Q139" s="146" t="s">
        <v>21</v>
      </c>
      <c r="R139" s="146" t="s">
        <v>1</v>
      </c>
      <c r="S139" s="146" t="s">
        <v>21</v>
      </c>
      <c r="T139" s="223" t="s">
        <v>1</v>
      </c>
    </row>
    <row r="140" spans="1:28" ht="10.8" customHeight="1">
      <c r="A140" s="433"/>
      <c r="B140" s="185" t="s">
        <v>7</v>
      </c>
      <c r="C140" s="155" t="s">
        <v>1</v>
      </c>
      <c r="D140" s="149" t="s">
        <v>1</v>
      </c>
      <c r="E140" s="149" t="s">
        <v>1</v>
      </c>
      <c r="F140" s="149" t="s">
        <v>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59">
        <v>608</v>
      </c>
      <c r="L140" s="149" t="s">
        <v>1</v>
      </c>
      <c r="M140" s="259">
        <v>751</v>
      </c>
      <c r="N140" s="149" t="s">
        <v>1</v>
      </c>
      <c r="O140" s="259">
        <v>811</v>
      </c>
      <c r="P140" s="149" t="s">
        <v>1</v>
      </c>
      <c r="Q140" s="149" t="s">
        <v>21</v>
      </c>
      <c r="R140" s="149" t="s">
        <v>1</v>
      </c>
      <c r="S140" s="149" t="s">
        <v>21</v>
      </c>
      <c r="T140" s="225" t="s">
        <v>1</v>
      </c>
    </row>
    <row r="141" spans="1:28" ht="10.199999999999999" customHeight="1">
      <c r="A141" s="83">
        <v>25</v>
      </c>
      <c r="B141" s="184" t="s">
        <v>2</v>
      </c>
      <c r="C141" s="318">
        <v>57.1</v>
      </c>
      <c r="D141" s="85" t="s">
        <v>1</v>
      </c>
      <c r="E141" s="262">
        <v>85.5</v>
      </c>
      <c r="F141" s="85" t="s">
        <v>1</v>
      </c>
      <c r="G141" s="237">
        <v>116</v>
      </c>
      <c r="H141" s="85" t="s">
        <v>1</v>
      </c>
      <c r="I141" s="237">
        <v>167</v>
      </c>
      <c r="J141" s="85" t="s">
        <v>1</v>
      </c>
      <c r="K141" s="237">
        <v>218</v>
      </c>
      <c r="L141" s="85" t="s">
        <v>1</v>
      </c>
      <c r="M141" s="237">
        <v>265</v>
      </c>
      <c r="N141" s="237">
        <v>264</v>
      </c>
      <c r="O141" s="237">
        <v>326</v>
      </c>
      <c r="P141" s="237">
        <v>333</v>
      </c>
      <c r="Q141" s="237">
        <v>384</v>
      </c>
      <c r="R141" s="237">
        <v>384</v>
      </c>
      <c r="S141" s="237">
        <v>397</v>
      </c>
      <c r="T141" s="316">
        <v>358</v>
      </c>
    </row>
    <row r="142" spans="1:28" ht="9" customHeight="1">
      <c r="A142" s="432"/>
      <c r="B142" s="2" t="s">
        <v>3</v>
      </c>
      <c r="C142" s="319">
        <v>88.7</v>
      </c>
      <c r="D142" s="146" t="s">
        <v>1</v>
      </c>
      <c r="E142" s="258">
        <v>138</v>
      </c>
      <c r="F142" s="146" t="s">
        <v>1</v>
      </c>
      <c r="G142" s="258">
        <v>186</v>
      </c>
      <c r="H142" s="146" t="s">
        <v>1</v>
      </c>
      <c r="I142" s="258">
        <v>281</v>
      </c>
      <c r="J142" s="146" t="s">
        <v>1</v>
      </c>
      <c r="K142" s="258">
        <v>329</v>
      </c>
      <c r="L142" s="146" t="s">
        <v>1</v>
      </c>
      <c r="M142" s="258">
        <v>465</v>
      </c>
      <c r="N142" s="258">
        <v>476</v>
      </c>
      <c r="O142" s="258">
        <v>531</v>
      </c>
      <c r="P142" s="258">
        <v>548</v>
      </c>
      <c r="Q142" s="258">
        <v>691</v>
      </c>
      <c r="R142" s="258">
        <v>712</v>
      </c>
      <c r="S142" s="258">
        <v>814</v>
      </c>
      <c r="T142" s="310">
        <v>798</v>
      </c>
    </row>
    <row r="143" spans="1:28" ht="9" customHeight="1">
      <c r="A143" s="432"/>
      <c r="B143" s="2" t="s">
        <v>5</v>
      </c>
      <c r="C143" s="304">
        <v>128</v>
      </c>
      <c r="D143" s="146" t="s">
        <v>1</v>
      </c>
      <c r="E143" s="258">
        <v>206</v>
      </c>
      <c r="F143" s="146" t="s">
        <v>1</v>
      </c>
      <c r="G143" s="258">
        <v>240</v>
      </c>
      <c r="H143" s="146" t="s">
        <v>1</v>
      </c>
      <c r="I143" s="258">
        <v>430</v>
      </c>
      <c r="J143" s="146" t="s">
        <v>1</v>
      </c>
      <c r="K143" s="258">
        <v>495</v>
      </c>
      <c r="L143" s="146" t="s">
        <v>1</v>
      </c>
      <c r="M143" s="258">
        <v>562</v>
      </c>
      <c r="N143" s="258">
        <v>573</v>
      </c>
      <c r="O143" s="258">
        <v>613</v>
      </c>
      <c r="P143" s="258">
        <v>628</v>
      </c>
      <c r="Q143" s="146" t="s">
        <v>21</v>
      </c>
      <c r="R143" s="146" t="s">
        <v>21</v>
      </c>
      <c r="S143" s="146" t="s">
        <v>21</v>
      </c>
      <c r="T143" s="223" t="s">
        <v>21</v>
      </c>
    </row>
    <row r="144" spans="1:28" ht="10.8" customHeight="1">
      <c r="A144" s="433"/>
      <c r="B144" s="185" t="s">
        <v>7</v>
      </c>
      <c r="C144" s="307">
        <v>156</v>
      </c>
      <c r="D144" s="149" t="s">
        <v>1</v>
      </c>
      <c r="E144" s="259">
        <v>251</v>
      </c>
      <c r="F144" s="149" t="s">
        <v>1</v>
      </c>
      <c r="G144" s="259">
        <v>304</v>
      </c>
      <c r="H144" s="149" t="s">
        <v>1</v>
      </c>
      <c r="I144" s="259">
        <v>529</v>
      </c>
      <c r="J144" s="149" t="s">
        <v>1</v>
      </c>
      <c r="K144" s="259">
        <v>595</v>
      </c>
      <c r="L144" s="149" t="s">
        <v>1</v>
      </c>
      <c r="M144" s="259">
        <v>744</v>
      </c>
      <c r="N144" s="259">
        <v>764</v>
      </c>
      <c r="O144" s="259">
        <v>801</v>
      </c>
      <c r="P144" s="259">
        <v>825</v>
      </c>
      <c r="Q144" s="149" t="s">
        <v>21</v>
      </c>
      <c r="R144" s="149" t="s">
        <v>21</v>
      </c>
      <c r="S144" s="149" t="s">
        <v>21</v>
      </c>
      <c r="T144" s="225" t="s">
        <v>21</v>
      </c>
    </row>
    <row r="145" spans="1:20" ht="10.199999999999999" customHeight="1">
      <c r="A145" s="83">
        <v>28</v>
      </c>
      <c r="B145" s="184" t="s">
        <v>2</v>
      </c>
      <c r="C145" s="318">
        <v>55</v>
      </c>
      <c r="D145" s="85" t="s">
        <v>1</v>
      </c>
      <c r="E145" s="262">
        <v>86.1</v>
      </c>
      <c r="F145" s="85" t="s">
        <v>1</v>
      </c>
      <c r="G145" s="237">
        <v>115</v>
      </c>
      <c r="H145" s="85" t="s">
        <v>1</v>
      </c>
      <c r="I145" s="237">
        <v>161</v>
      </c>
      <c r="J145" s="85" t="s">
        <v>1</v>
      </c>
      <c r="K145" s="237">
        <v>213</v>
      </c>
      <c r="L145" s="237">
        <v>236</v>
      </c>
      <c r="M145" s="237">
        <v>266</v>
      </c>
      <c r="N145" s="237">
        <v>277</v>
      </c>
      <c r="O145" s="237">
        <v>323</v>
      </c>
      <c r="P145" s="237">
        <v>340</v>
      </c>
      <c r="Q145" s="237">
        <v>393</v>
      </c>
      <c r="R145" s="237">
        <v>403</v>
      </c>
      <c r="S145" s="237">
        <v>426</v>
      </c>
      <c r="T145" s="316">
        <v>417</v>
      </c>
    </row>
    <row r="146" spans="1:20" ht="9" customHeight="1">
      <c r="A146" s="432"/>
      <c r="B146" s="2" t="s">
        <v>3</v>
      </c>
      <c r="C146" s="319">
        <v>85.1</v>
      </c>
      <c r="D146" s="146" t="s">
        <v>1</v>
      </c>
      <c r="E146" s="258">
        <v>138</v>
      </c>
      <c r="F146" s="146" t="s">
        <v>1</v>
      </c>
      <c r="G146" s="258">
        <v>184</v>
      </c>
      <c r="H146" s="146" t="s">
        <v>1</v>
      </c>
      <c r="I146" s="258">
        <v>268</v>
      </c>
      <c r="J146" s="146" t="s">
        <v>1</v>
      </c>
      <c r="K146" s="258">
        <v>318</v>
      </c>
      <c r="L146" s="258">
        <v>356</v>
      </c>
      <c r="M146" s="258">
        <v>457</v>
      </c>
      <c r="N146" s="258">
        <v>479</v>
      </c>
      <c r="O146" s="258">
        <v>519</v>
      </c>
      <c r="P146" s="258">
        <v>547</v>
      </c>
      <c r="Q146" s="258">
        <v>686</v>
      </c>
      <c r="R146" s="258">
        <v>710</v>
      </c>
      <c r="S146" s="258">
        <v>826</v>
      </c>
      <c r="T146" s="310">
        <v>831</v>
      </c>
    </row>
    <row r="147" spans="1:20" ht="9" customHeight="1">
      <c r="A147" s="432"/>
      <c r="B147" s="2" t="s">
        <v>5</v>
      </c>
      <c r="C147" s="304">
        <v>121</v>
      </c>
      <c r="D147" s="146" t="s">
        <v>1</v>
      </c>
      <c r="E147" s="258">
        <v>206</v>
      </c>
      <c r="F147" s="146" t="s">
        <v>1</v>
      </c>
      <c r="G147" s="258">
        <v>237</v>
      </c>
      <c r="H147" s="146" t="s">
        <v>1</v>
      </c>
      <c r="I147" s="258">
        <v>409</v>
      </c>
      <c r="J147" s="146" t="s">
        <v>1</v>
      </c>
      <c r="K147" s="258">
        <v>474</v>
      </c>
      <c r="L147" s="258">
        <v>527</v>
      </c>
      <c r="M147" s="258">
        <v>551</v>
      </c>
      <c r="N147" s="258">
        <v>573</v>
      </c>
      <c r="O147" s="258">
        <v>598</v>
      </c>
      <c r="P147" s="258">
        <v>624</v>
      </c>
      <c r="Q147" s="146" t="s">
        <v>21</v>
      </c>
      <c r="R147" s="146" t="s">
        <v>21</v>
      </c>
      <c r="S147" s="146" t="s">
        <v>21</v>
      </c>
      <c r="T147" s="223" t="s">
        <v>21</v>
      </c>
    </row>
    <row r="148" spans="1:20" ht="10.8" customHeight="1">
      <c r="A148" s="433"/>
      <c r="B148" s="185" t="s">
        <v>7</v>
      </c>
      <c r="C148" s="307">
        <v>148</v>
      </c>
      <c r="D148" s="149" t="s">
        <v>1</v>
      </c>
      <c r="E148" s="259">
        <v>252</v>
      </c>
      <c r="F148" s="149" t="s">
        <v>1</v>
      </c>
      <c r="G148" s="259">
        <v>299</v>
      </c>
      <c r="H148" s="149" t="s">
        <v>1</v>
      </c>
      <c r="I148" s="259">
        <v>503</v>
      </c>
      <c r="J148" s="149" t="s">
        <v>1</v>
      </c>
      <c r="K148" s="259">
        <v>568</v>
      </c>
      <c r="L148" s="259">
        <v>634</v>
      </c>
      <c r="M148" s="259">
        <v>726</v>
      </c>
      <c r="N148" s="259">
        <v>758</v>
      </c>
      <c r="O148" s="259">
        <v>778</v>
      </c>
      <c r="P148" s="259">
        <v>813</v>
      </c>
      <c r="Q148" s="149" t="s">
        <v>21</v>
      </c>
      <c r="R148" s="149" t="s">
        <v>21</v>
      </c>
      <c r="S148" s="149" t="s">
        <v>21</v>
      </c>
      <c r="T148" s="225" t="s">
        <v>21</v>
      </c>
    </row>
    <row r="149" spans="1:20" ht="10.199999999999999" customHeight="1">
      <c r="A149" s="431">
        <v>31.5</v>
      </c>
      <c r="B149" s="184" t="s">
        <v>2</v>
      </c>
      <c r="C149" s="318">
        <v>53.6</v>
      </c>
      <c r="D149" s="262">
        <v>61.9</v>
      </c>
      <c r="E149" s="262">
        <v>82.9</v>
      </c>
      <c r="F149" s="262">
        <v>92.2</v>
      </c>
      <c r="G149" s="237">
        <v>112</v>
      </c>
      <c r="H149" s="237">
        <v>118</v>
      </c>
      <c r="I149" s="237">
        <v>157</v>
      </c>
      <c r="J149" s="237">
        <v>188</v>
      </c>
      <c r="K149" s="237">
        <v>209</v>
      </c>
      <c r="L149" s="237">
        <v>237</v>
      </c>
      <c r="M149" s="237">
        <v>266</v>
      </c>
      <c r="N149" s="237">
        <v>277</v>
      </c>
      <c r="O149" s="237">
        <v>320</v>
      </c>
      <c r="P149" s="237">
        <v>337</v>
      </c>
      <c r="Q149" s="237">
        <v>399</v>
      </c>
      <c r="R149" s="237">
        <v>411</v>
      </c>
      <c r="S149" s="237">
        <v>446</v>
      </c>
      <c r="T149" s="316">
        <v>444</v>
      </c>
    </row>
    <row r="150" spans="1:20" ht="9" customHeight="1">
      <c r="A150" s="432"/>
      <c r="B150" s="2" t="s">
        <v>3</v>
      </c>
      <c r="C150" s="319">
        <v>82.7</v>
      </c>
      <c r="D150" s="320">
        <v>94.3</v>
      </c>
      <c r="E150" s="258">
        <v>132</v>
      </c>
      <c r="F150" s="258">
        <v>145</v>
      </c>
      <c r="G150" s="258">
        <v>178</v>
      </c>
      <c r="H150" s="258">
        <v>186</v>
      </c>
      <c r="I150" s="258">
        <v>259</v>
      </c>
      <c r="J150" s="258">
        <v>308</v>
      </c>
      <c r="K150" s="258">
        <v>310</v>
      </c>
      <c r="L150" s="258">
        <v>353</v>
      </c>
      <c r="M150" s="258">
        <v>450</v>
      </c>
      <c r="N150" s="258">
        <v>470</v>
      </c>
      <c r="O150" s="258">
        <v>509</v>
      </c>
      <c r="P150" s="258">
        <v>534</v>
      </c>
      <c r="Q150" s="258">
        <v>677</v>
      </c>
      <c r="R150" s="258">
        <v>703</v>
      </c>
      <c r="S150" s="258">
        <v>829</v>
      </c>
      <c r="T150" s="310">
        <v>839</v>
      </c>
    </row>
    <row r="151" spans="1:20" ht="9" customHeight="1">
      <c r="A151" s="432"/>
      <c r="B151" s="2" t="s">
        <v>5</v>
      </c>
      <c r="C151" s="304">
        <v>115</v>
      </c>
      <c r="D151" s="258">
        <v>131</v>
      </c>
      <c r="E151" s="258">
        <v>195</v>
      </c>
      <c r="F151" s="258">
        <v>211</v>
      </c>
      <c r="G151" s="258">
        <v>230</v>
      </c>
      <c r="H151" s="258">
        <v>236</v>
      </c>
      <c r="I151" s="258">
        <v>396</v>
      </c>
      <c r="J151" s="258">
        <v>457</v>
      </c>
      <c r="K151" s="258">
        <v>461</v>
      </c>
      <c r="L151" s="258">
        <v>516</v>
      </c>
      <c r="M151" s="258">
        <v>541</v>
      </c>
      <c r="N151" s="258">
        <v>561</v>
      </c>
      <c r="O151" s="258">
        <v>586</v>
      </c>
      <c r="P151" s="258">
        <v>609</v>
      </c>
      <c r="Q151" s="146" t="s">
        <v>21</v>
      </c>
      <c r="R151" s="146" t="s">
        <v>21</v>
      </c>
      <c r="S151" s="146" t="s">
        <v>21</v>
      </c>
      <c r="T151" s="223" t="s">
        <v>21</v>
      </c>
    </row>
    <row r="152" spans="1:20" ht="10.8" customHeight="1">
      <c r="A152" s="433"/>
      <c r="B152" s="185" t="s">
        <v>7</v>
      </c>
      <c r="C152" s="307">
        <v>141</v>
      </c>
      <c r="D152" s="259">
        <v>160</v>
      </c>
      <c r="E152" s="259">
        <v>238</v>
      </c>
      <c r="F152" s="259">
        <v>257</v>
      </c>
      <c r="G152" s="259">
        <v>290</v>
      </c>
      <c r="H152" s="259">
        <v>297</v>
      </c>
      <c r="I152" s="259">
        <v>486</v>
      </c>
      <c r="J152" s="259">
        <v>562</v>
      </c>
      <c r="K152" s="259">
        <v>552</v>
      </c>
      <c r="L152" s="259">
        <v>620</v>
      </c>
      <c r="M152" s="259">
        <v>709</v>
      </c>
      <c r="N152" s="259">
        <v>737</v>
      </c>
      <c r="O152" s="259">
        <v>758</v>
      </c>
      <c r="P152" s="259">
        <v>790</v>
      </c>
      <c r="Q152" s="149" t="s">
        <v>21</v>
      </c>
      <c r="R152" s="149" t="s">
        <v>21</v>
      </c>
      <c r="S152" s="149" t="s">
        <v>21</v>
      </c>
      <c r="T152" s="225" t="s">
        <v>21</v>
      </c>
    </row>
    <row r="153" spans="1:20" ht="10.199999999999999" customHeight="1">
      <c r="A153" s="431">
        <v>35.5</v>
      </c>
      <c r="B153" s="184" t="s">
        <v>2</v>
      </c>
      <c r="C153" s="318">
        <v>52</v>
      </c>
      <c r="D153" s="262">
        <v>59.6</v>
      </c>
      <c r="E153" s="262">
        <v>80.400000000000006</v>
      </c>
      <c r="F153" s="262">
        <v>92.8</v>
      </c>
      <c r="G153" s="237">
        <v>109</v>
      </c>
      <c r="H153" s="237">
        <v>116</v>
      </c>
      <c r="I153" s="237">
        <v>152</v>
      </c>
      <c r="J153" s="237">
        <v>181</v>
      </c>
      <c r="K153" s="237">
        <v>204</v>
      </c>
      <c r="L153" s="237">
        <v>231</v>
      </c>
      <c r="M153" s="237">
        <v>262</v>
      </c>
      <c r="N153" s="237">
        <v>277</v>
      </c>
      <c r="O153" s="237">
        <v>312</v>
      </c>
      <c r="P153" s="237">
        <v>334</v>
      </c>
      <c r="Q153" s="237">
        <v>399</v>
      </c>
      <c r="R153" s="237">
        <v>415</v>
      </c>
      <c r="S153" s="237">
        <v>459</v>
      </c>
      <c r="T153" s="316">
        <v>462</v>
      </c>
    </row>
    <row r="154" spans="1:20" ht="9" customHeight="1">
      <c r="A154" s="432"/>
      <c r="B154" s="2" t="s">
        <v>3</v>
      </c>
      <c r="C154" s="319">
        <v>79.900000000000006</v>
      </c>
      <c r="D154" s="320">
        <v>90.5</v>
      </c>
      <c r="E154" s="258">
        <v>128</v>
      </c>
      <c r="F154" s="258">
        <v>146</v>
      </c>
      <c r="G154" s="258">
        <v>172</v>
      </c>
      <c r="H154" s="258">
        <v>183</v>
      </c>
      <c r="I154" s="258">
        <v>250</v>
      </c>
      <c r="J154" s="258">
        <v>293</v>
      </c>
      <c r="K154" s="258">
        <v>301</v>
      </c>
      <c r="L154" s="258">
        <v>339</v>
      </c>
      <c r="M154" s="258">
        <v>434</v>
      </c>
      <c r="N154" s="258">
        <v>462</v>
      </c>
      <c r="O154" s="258">
        <v>488</v>
      </c>
      <c r="P154" s="258">
        <v>523</v>
      </c>
      <c r="Q154" s="258">
        <v>663</v>
      </c>
      <c r="R154" s="258">
        <v>693</v>
      </c>
      <c r="S154" s="258">
        <v>820</v>
      </c>
      <c r="T154" s="310">
        <v>841</v>
      </c>
    </row>
    <row r="155" spans="1:20" ht="9" customHeight="1">
      <c r="A155" s="432"/>
      <c r="B155" s="2" t="s">
        <v>5</v>
      </c>
      <c r="C155" s="304">
        <v>110</v>
      </c>
      <c r="D155" s="258">
        <v>123</v>
      </c>
      <c r="E155" s="258">
        <v>186</v>
      </c>
      <c r="F155" s="258">
        <v>209</v>
      </c>
      <c r="G155" s="258">
        <v>223</v>
      </c>
      <c r="H155" s="258">
        <v>232</v>
      </c>
      <c r="I155" s="258">
        <v>382</v>
      </c>
      <c r="J155" s="258">
        <v>435</v>
      </c>
      <c r="K155" s="258">
        <v>447</v>
      </c>
      <c r="L155" s="258">
        <v>494</v>
      </c>
      <c r="M155" s="258">
        <v>522</v>
      </c>
      <c r="N155" s="258">
        <v>551</v>
      </c>
      <c r="O155" s="258">
        <v>562</v>
      </c>
      <c r="P155" s="258">
        <v>596</v>
      </c>
      <c r="Q155" s="146" t="s">
        <v>21</v>
      </c>
      <c r="R155" s="146" t="s">
        <v>21</v>
      </c>
      <c r="S155" s="146" t="s">
        <v>21</v>
      </c>
      <c r="T155" s="223" t="s">
        <v>21</v>
      </c>
    </row>
    <row r="156" spans="1:20" ht="10.8" customHeight="1">
      <c r="A156" s="433"/>
      <c r="B156" s="185" t="s">
        <v>7</v>
      </c>
      <c r="C156" s="307">
        <v>136</v>
      </c>
      <c r="D156" s="259">
        <v>151</v>
      </c>
      <c r="E156" s="259">
        <v>228</v>
      </c>
      <c r="F156" s="259">
        <v>256</v>
      </c>
      <c r="G156" s="259">
        <v>281</v>
      </c>
      <c r="H156" s="259">
        <v>292</v>
      </c>
      <c r="I156" s="259">
        <v>468</v>
      </c>
      <c r="J156" s="259">
        <v>534</v>
      </c>
      <c r="K156" s="259">
        <v>534</v>
      </c>
      <c r="L156" s="259">
        <v>592</v>
      </c>
      <c r="M156" s="259">
        <v>679</v>
      </c>
      <c r="N156" s="259">
        <v>721</v>
      </c>
      <c r="O156" s="259">
        <v>724</v>
      </c>
      <c r="P156" s="259">
        <v>770</v>
      </c>
      <c r="Q156" s="149" t="s">
        <v>21</v>
      </c>
      <c r="R156" s="149" t="s">
        <v>21</v>
      </c>
      <c r="S156" s="149" t="s">
        <v>21</v>
      </c>
      <c r="T156" s="225" t="s">
        <v>21</v>
      </c>
    </row>
    <row r="157" spans="1:20" ht="10.199999999999999" customHeight="1">
      <c r="A157" s="83">
        <v>40</v>
      </c>
      <c r="B157" s="184" t="s">
        <v>2</v>
      </c>
      <c r="C157" s="318">
        <v>49.2</v>
      </c>
      <c r="D157" s="262">
        <v>57.9</v>
      </c>
      <c r="E157" s="262">
        <v>76.599999999999994</v>
      </c>
      <c r="F157" s="262">
        <v>89.4</v>
      </c>
      <c r="G157" s="237">
        <v>103</v>
      </c>
      <c r="H157" s="237">
        <v>113</v>
      </c>
      <c r="I157" s="237">
        <v>147</v>
      </c>
      <c r="J157" s="237">
        <v>176</v>
      </c>
      <c r="K157" s="237">
        <v>199</v>
      </c>
      <c r="L157" s="237">
        <v>227</v>
      </c>
      <c r="M157" s="237">
        <v>256</v>
      </c>
      <c r="N157" s="237">
        <v>272</v>
      </c>
      <c r="O157" s="237">
        <v>304</v>
      </c>
      <c r="P157" s="237">
        <v>324</v>
      </c>
      <c r="Q157" s="237">
        <v>395</v>
      </c>
      <c r="R157" s="237">
        <v>414</v>
      </c>
      <c r="S157" s="237">
        <v>471</v>
      </c>
      <c r="T157" s="316">
        <v>474</v>
      </c>
    </row>
    <row r="158" spans="1:20" ht="9" customHeight="1">
      <c r="A158" s="1"/>
      <c r="B158" s="2" t="s">
        <v>3</v>
      </c>
      <c r="C158" s="319">
        <v>75.400000000000006</v>
      </c>
      <c r="D158" s="320">
        <v>87.9</v>
      </c>
      <c r="E158" s="258">
        <v>121</v>
      </c>
      <c r="F158" s="258">
        <v>140</v>
      </c>
      <c r="G158" s="258">
        <v>163</v>
      </c>
      <c r="H158" s="258">
        <v>178</v>
      </c>
      <c r="I158" s="258">
        <v>241</v>
      </c>
      <c r="J158" s="258">
        <v>284</v>
      </c>
      <c r="K158" s="258">
        <v>290</v>
      </c>
      <c r="L158" s="258">
        <v>331</v>
      </c>
      <c r="M158" s="258">
        <v>421</v>
      </c>
      <c r="N158" s="258">
        <v>446</v>
      </c>
      <c r="O158" s="258">
        <v>471</v>
      </c>
      <c r="P158" s="258">
        <v>501</v>
      </c>
      <c r="Q158" s="258">
        <v>644</v>
      </c>
      <c r="R158" s="258">
        <v>679</v>
      </c>
      <c r="S158" s="258">
        <v>811</v>
      </c>
      <c r="T158" s="310">
        <v>832</v>
      </c>
    </row>
    <row r="159" spans="1:20" ht="9" customHeight="1">
      <c r="A159" s="1"/>
      <c r="B159" s="2" t="s">
        <v>5</v>
      </c>
      <c r="C159" s="304">
        <v>102</v>
      </c>
      <c r="D159" s="258">
        <v>118</v>
      </c>
      <c r="E159" s="258">
        <v>173</v>
      </c>
      <c r="F159" s="258">
        <v>197</v>
      </c>
      <c r="G159" s="258">
        <v>212</v>
      </c>
      <c r="H159" s="258">
        <v>225</v>
      </c>
      <c r="I159" s="258">
        <v>368</v>
      </c>
      <c r="J159" s="258">
        <v>420</v>
      </c>
      <c r="K159" s="258">
        <v>432</v>
      </c>
      <c r="L159" s="258">
        <v>481</v>
      </c>
      <c r="M159" s="258">
        <v>506</v>
      </c>
      <c r="N159" s="258">
        <v>531</v>
      </c>
      <c r="O159" s="258">
        <v>544</v>
      </c>
      <c r="P159" s="258">
        <v>571</v>
      </c>
      <c r="Q159" s="146" t="s">
        <v>21</v>
      </c>
      <c r="R159" s="146" t="s">
        <v>21</v>
      </c>
      <c r="S159" s="146" t="s">
        <v>21</v>
      </c>
      <c r="T159" s="223" t="s">
        <v>21</v>
      </c>
    </row>
    <row r="160" spans="1:20" ht="10.8" customHeight="1">
      <c r="A160" s="45"/>
      <c r="B160" s="185" t="s">
        <v>7</v>
      </c>
      <c r="C160" s="307">
        <v>126</v>
      </c>
      <c r="D160" s="259">
        <v>145</v>
      </c>
      <c r="E160" s="259">
        <v>213</v>
      </c>
      <c r="F160" s="259">
        <v>242</v>
      </c>
      <c r="G160" s="259">
        <v>266</v>
      </c>
      <c r="H160" s="259">
        <v>284</v>
      </c>
      <c r="I160" s="259">
        <v>450</v>
      </c>
      <c r="J160" s="259">
        <v>515</v>
      </c>
      <c r="K160" s="259">
        <v>515</v>
      </c>
      <c r="L160" s="259">
        <v>575</v>
      </c>
      <c r="M160" s="259">
        <v>655</v>
      </c>
      <c r="N160" s="259">
        <v>690</v>
      </c>
      <c r="O160" s="259">
        <v>697</v>
      </c>
      <c r="P160" s="259">
        <v>735</v>
      </c>
      <c r="Q160" s="149" t="s">
        <v>21</v>
      </c>
      <c r="R160" s="149" t="s">
        <v>21</v>
      </c>
      <c r="S160" s="149" t="s">
        <v>21</v>
      </c>
      <c r="T160" s="225" t="s">
        <v>21</v>
      </c>
    </row>
    <row r="161" spans="1:20" ht="10.199999999999999" customHeight="1">
      <c r="A161" s="83">
        <v>45</v>
      </c>
      <c r="B161" s="184" t="s">
        <v>2</v>
      </c>
      <c r="C161" s="318">
        <v>47.3</v>
      </c>
      <c r="D161" s="262">
        <v>56.2</v>
      </c>
      <c r="E161" s="262">
        <v>73.8</v>
      </c>
      <c r="F161" s="262">
        <v>86.6</v>
      </c>
      <c r="G161" s="262">
        <v>99.1</v>
      </c>
      <c r="H161" s="237">
        <v>110</v>
      </c>
      <c r="I161" s="237">
        <v>146</v>
      </c>
      <c r="J161" s="237">
        <v>171</v>
      </c>
      <c r="K161" s="237">
        <v>192</v>
      </c>
      <c r="L161" s="237">
        <v>221</v>
      </c>
      <c r="M161" s="237">
        <v>256</v>
      </c>
      <c r="N161" s="237">
        <v>266</v>
      </c>
      <c r="O161" s="237">
        <v>302</v>
      </c>
      <c r="P161" s="237">
        <v>315</v>
      </c>
      <c r="Q161" s="237">
        <v>395</v>
      </c>
      <c r="R161" s="237">
        <v>409</v>
      </c>
      <c r="S161" s="237">
        <v>477</v>
      </c>
      <c r="T161" s="316">
        <v>485</v>
      </c>
    </row>
    <row r="162" spans="1:20" ht="9" customHeight="1">
      <c r="A162" s="1"/>
      <c r="B162" s="2" t="s">
        <v>3</v>
      </c>
      <c r="C162" s="319">
        <v>72.2</v>
      </c>
      <c r="D162" s="320">
        <v>85</v>
      </c>
      <c r="E162" s="258">
        <v>116</v>
      </c>
      <c r="F162" s="258">
        <v>135</v>
      </c>
      <c r="G162" s="258">
        <v>156</v>
      </c>
      <c r="H162" s="258">
        <v>172</v>
      </c>
      <c r="I162" s="258">
        <v>237</v>
      </c>
      <c r="J162" s="258">
        <v>274</v>
      </c>
      <c r="K162" s="258">
        <v>279</v>
      </c>
      <c r="L162" s="258">
        <v>321</v>
      </c>
      <c r="M162" s="258">
        <v>416</v>
      </c>
      <c r="N162" s="258">
        <v>431</v>
      </c>
      <c r="O162" s="258">
        <v>465</v>
      </c>
      <c r="P162" s="258">
        <v>484</v>
      </c>
      <c r="Q162" s="258">
        <v>638</v>
      </c>
      <c r="R162" s="258">
        <v>659</v>
      </c>
      <c r="S162" s="258">
        <v>795</v>
      </c>
      <c r="T162" s="310">
        <v>823</v>
      </c>
    </row>
    <row r="163" spans="1:20" ht="9" customHeight="1">
      <c r="A163" s="1"/>
      <c r="B163" s="2" t="s">
        <v>5</v>
      </c>
      <c r="C163" s="319">
        <v>96.4</v>
      </c>
      <c r="D163" s="258">
        <v>113</v>
      </c>
      <c r="E163" s="258">
        <v>164</v>
      </c>
      <c r="F163" s="258">
        <v>189</v>
      </c>
      <c r="G163" s="258">
        <v>203</v>
      </c>
      <c r="H163" s="258">
        <v>218</v>
      </c>
      <c r="I163" s="258">
        <v>364</v>
      </c>
      <c r="J163" s="258">
        <v>406</v>
      </c>
      <c r="K163" s="258">
        <v>415</v>
      </c>
      <c r="L163" s="258">
        <v>466</v>
      </c>
      <c r="M163" s="258">
        <v>501</v>
      </c>
      <c r="N163" s="258">
        <v>515</v>
      </c>
      <c r="O163" s="258">
        <v>538</v>
      </c>
      <c r="P163" s="258">
        <v>552</v>
      </c>
      <c r="Q163" s="146" t="s">
        <v>21</v>
      </c>
      <c r="R163" s="146" t="s">
        <v>21</v>
      </c>
      <c r="S163" s="146" t="s">
        <v>21</v>
      </c>
      <c r="T163" s="223" t="s">
        <v>21</v>
      </c>
    </row>
    <row r="164" spans="1:20" ht="10.8" customHeight="1">
      <c r="A164" s="45"/>
      <c r="B164" s="185" t="s">
        <v>7</v>
      </c>
      <c r="C164" s="307">
        <v>119</v>
      </c>
      <c r="D164" s="259">
        <v>139</v>
      </c>
      <c r="E164" s="259">
        <v>202</v>
      </c>
      <c r="F164" s="259">
        <v>232</v>
      </c>
      <c r="G164" s="259">
        <v>255</v>
      </c>
      <c r="H164" s="259">
        <v>274</v>
      </c>
      <c r="I164" s="259">
        <v>445</v>
      </c>
      <c r="J164" s="259">
        <v>497</v>
      </c>
      <c r="K164" s="259">
        <v>494</v>
      </c>
      <c r="L164" s="259">
        <v>556</v>
      </c>
      <c r="M164" s="259">
        <v>646</v>
      </c>
      <c r="N164" s="259">
        <v>665</v>
      </c>
      <c r="O164" s="259">
        <v>688</v>
      </c>
      <c r="P164" s="259">
        <v>707</v>
      </c>
      <c r="Q164" s="149" t="s">
        <v>21</v>
      </c>
      <c r="R164" s="149" t="s">
        <v>21</v>
      </c>
      <c r="S164" s="149" t="s">
        <v>21</v>
      </c>
      <c r="T164" s="225" t="s">
        <v>21</v>
      </c>
    </row>
    <row r="165" spans="1:20" ht="10.199999999999999" customHeight="1">
      <c r="A165" s="83">
        <v>50</v>
      </c>
      <c r="B165" s="184" t="s">
        <v>2</v>
      </c>
      <c r="C165" s="318">
        <v>45.9</v>
      </c>
      <c r="D165" s="262">
        <v>53.2</v>
      </c>
      <c r="E165" s="262">
        <v>70.400000000000006</v>
      </c>
      <c r="F165" s="262">
        <v>82.5</v>
      </c>
      <c r="G165" s="262">
        <v>98.4</v>
      </c>
      <c r="H165" s="237">
        <v>104</v>
      </c>
      <c r="I165" s="237">
        <v>145</v>
      </c>
      <c r="J165" s="237">
        <v>165</v>
      </c>
      <c r="K165" s="237">
        <v>192</v>
      </c>
      <c r="L165" s="237">
        <v>214</v>
      </c>
      <c r="M165" s="237">
        <v>265</v>
      </c>
      <c r="N165" s="237">
        <v>265</v>
      </c>
      <c r="O165" s="237">
        <v>302</v>
      </c>
      <c r="P165" s="237">
        <v>313</v>
      </c>
      <c r="Q165" s="237">
        <v>404</v>
      </c>
      <c r="R165" s="237">
        <v>408</v>
      </c>
      <c r="S165" s="237">
        <v>497</v>
      </c>
      <c r="T165" s="316">
        <v>489</v>
      </c>
    </row>
    <row r="166" spans="1:20" ht="9" customHeight="1">
      <c r="A166" s="1"/>
      <c r="B166" s="2" t="s">
        <v>3</v>
      </c>
      <c r="C166" s="319">
        <v>69.599999999999994</v>
      </c>
      <c r="D166" s="320">
        <v>80.099999999999994</v>
      </c>
      <c r="E166" s="258">
        <v>110</v>
      </c>
      <c r="F166" s="258">
        <v>128</v>
      </c>
      <c r="G166" s="258">
        <v>153</v>
      </c>
      <c r="H166" s="258">
        <v>162</v>
      </c>
      <c r="I166" s="258">
        <v>232</v>
      </c>
      <c r="J166" s="258">
        <v>263</v>
      </c>
      <c r="K166" s="258">
        <v>275</v>
      </c>
      <c r="L166" s="258">
        <v>310</v>
      </c>
      <c r="M166" s="258">
        <v>418</v>
      </c>
      <c r="N166" s="258">
        <v>427</v>
      </c>
      <c r="O166" s="258">
        <v>458</v>
      </c>
      <c r="P166" s="258">
        <v>477</v>
      </c>
      <c r="Q166" s="258">
        <v>631</v>
      </c>
      <c r="R166" s="258">
        <v>652</v>
      </c>
      <c r="S166" s="258">
        <v>802</v>
      </c>
      <c r="T166" s="310">
        <v>805</v>
      </c>
    </row>
    <row r="167" spans="1:20" ht="9" customHeight="1">
      <c r="A167" s="1"/>
      <c r="B167" s="2" t="s">
        <v>5</v>
      </c>
      <c r="C167" s="319">
        <v>93.5</v>
      </c>
      <c r="D167" s="258">
        <v>105</v>
      </c>
      <c r="E167" s="258">
        <v>155</v>
      </c>
      <c r="F167" s="258">
        <v>176</v>
      </c>
      <c r="G167" s="258">
        <v>199</v>
      </c>
      <c r="H167" s="258">
        <v>207</v>
      </c>
      <c r="I167" s="258">
        <v>356</v>
      </c>
      <c r="J167" s="258">
        <v>391</v>
      </c>
      <c r="K167" s="258">
        <v>407</v>
      </c>
      <c r="L167" s="258">
        <v>450</v>
      </c>
      <c r="M167" s="258">
        <v>501</v>
      </c>
      <c r="N167" s="258">
        <v>509</v>
      </c>
      <c r="O167" s="258">
        <v>529</v>
      </c>
      <c r="P167" s="258">
        <v>546</v>
      </c>
      <c r="Q167" s="146" t="s">
        <v>21</v>
      </c>
      <c r="R167" s="146" t="s">
        <v>21</v>
      </c>
      <c r="S167" s="146" t="s">
        <v>21</v>
      </c>
      <c r="T167" s="223" t="s">
        <v>21</v>
      </c>
    </row>
    <row r="168" spans="1:20" ht="10.8" customHeight="1">
      <c r="A168" s="45"/>
      <c r="B168" s="185" t="s">
        <v>7</v>
      </c>
      <c r="C168" s="307">
        <v>115</v>
      </c>
      <c r="D168" s="259">
        <v>129</v>
      </c>
      <c r="E168" s="259">
        <v>190</v>
      </c>
      <c r="F168" s="259">
        <v>216</v>
      </c>
      <c r="G168" s="259">
        <v>249</v>
      </c>
      <c r="H168" s="259">
        <v>260</v>
      </c>
      <c r="I168" s="259">
        <v>433</v>
      </c>
      <c r="J168" s="259">
        <v>477</v>
      </c>
      <c r="K168" s="259">
        <v>481</v>
      </c>
      <c r="L168" s="259">
        <v>535</v>
      </c>
      <c r="M168" s="259">
        <v>640</v>
      </c>
      <c r="N168" s="259">
        <v>656</v>
      </c>
      <c r="O168" s="259">
        <v>671</v>
      </c>
      <c r="P168" s="259">
        <v>697</v>
      </c>
      <c r="Q168" s="149" t="s">
        <v>21</v>
      </c>
      <c r="R168" s="149" t="s">
        <v>21</v>
      </c>
      <c r="S168" s="149" t="s">
        <v>21</v>
      </c>
      <c r="T168" s="225" t="s">
        <v>21</v>
      </c>
    </row>
    <row r="169" spans="1:20" ht="10.199999999999999" customHeight="1">
      <c r="A169" s="83">
        <v>56</v>
      </c>
      <c r="B169" s="184" t="s">
        <v>2</v>
      </c>
      <c r="C169" s="318">
        <v>43.7</v>
      </c>
      <c r="D169" s="262">
        <v>51</v>
      </c>
      <c r="E169" s="262">
        <v>67.2</v>
      </c>
      <c r="F169" s="262">
        <v>79.5</v>
      </c>
      <c r="G169" s="262">
        <v>93.9</v>
      </c>
      <c r="H169" s="237">
        <v>100</v>
      </c>
      <c r="I169" s="237">
        <v>137</v>
      </c>
      <c r="J169" s="237">
        <v>164</v>
      </c>
      <c r="K169" s="237">
        <v>187</v>
      </c>
      <c r="L169" s="237">
        <v>207</v>
      </c>
      <c r="M169" s="237">
        <v>256</v>
      </c>
      <c r="N169" s="237">
        <v>274</v>
      </c>
      <c r="O169" s="237">
        <v>290</v>
      </c>
      <c r="P169" s="237">
        <v>313</v>
      </c>
      <c r="Q169" s="237">
        <v>391</v>
      </c>
      <c r="R169" s="237">
        <v>417</v>
      </c>
      <c r="S169" s="237">
        <v>486</v>
      </c>
      <c r="T169" s="316">
        <v>508</v>
      </c>
    </row>
    <row r="170" spans="1:20" ht="9" customHeight="1">
      <c r="A170" s="1"/>
      <c r="B170" s="2" t="s">
        <v>3</v>
      </c>
      <c r="C170" s="319">
        <v>66</v>
      </c>
      <c r="D170" s="320">
        <v>76.7</v>
      </c>
      <c r="E170" s="258">
        <v>105</v>
      </c>
      <c r="F170" s="258">
        <v>123</v>
      </c>
      <c r="G170" s="258">
        <v>146</v>
      </c>
      <c r="H170" s="258">
        <v>156</v>
      </c>
      <c r="I170" s="258">
        <v>217</v>
      </c>
      <c r="J170" s="258">
        <v>260</v>
      </c>
      <c r="K170" s="258">
        <v>266</v>
      </c>
      <c r="L170" s="258">
        <v>297</v>
      </c>
      <c r="M170" s="258">
        <v>399</v>
      </c>
      <c r="N170" s="258">
        <v>428</v>
      </c>
      <c r="O170" s="258">
        <v>437</v>
      </c>
      <c r="P170" s="258">
        <v>470</v>
      </c>
      <c r="Q170" s="258">
        <v>605</v>
      </c>
      <c r="R170" s="258">
        <v>644</v>
      </c>
      <c r="S170" s="258">
        <v>773</v>
      </c>
      <c r="T170" s="310">
        <v>811</v>
      </c>
    </row>
    <row r="171" spans="1:20" ht="9" customHeight="1">
      <c r="A171" s="1"/>
      <c r="B171" s="2" t="s">
        <v>5</v>
      </c>
      <c r="C171" s="319">
        <v>87.3</v>
      </c>
      <c r="D171" s="320">
        <v>98.9</v>
      </c>
      <c r="E171" s="258">
        <v>145</v>
      </c>
      <c r="F171" s="258">
        <v>167</v>
      </c>
      <c r="G171" s="258">
        <v>190</v>
      </c>
      <c r="H171" s="258">
        <v>199</v>
      </c>
      <c r="I171" s="258">
        <v>334</v>
      </c>
      <c r="J171" s="258">
        <v>387</v>
      </c>
      <c r="K171" s="258">
        <v>394</v>
      </c>
      <c r="L171" s="258">
        <v>432</v>
      </c>
      <c r="M171" s="258">
        <v>480</v>
      </c>
      <c r="N171" s="258">
        <v>509</v>
      </c>
      <c r="O171" s="258">
        <v>506</v>
      </c>
      <c r="P171" s="258">
        <v>537</v>
      </c>
      <c r="Q171" s="146" t="s">
        <v>21</v>
      </c>
      <c r="R171" s="146" t="s">
        <v>21</v>
      </c>
      <c r="S171" s="146" t="s">
        <v>21</v>
      </c>
      <c r="T171" s="223" t="s">
        <v>21</v>
      </c>
    </row>
    <row r="172" spans="1:20" ht="10.8" customHeight="1">
      <c r="A172" s="45"/>
      <c r="B172" s="185" t="s">
        <v>7</v>
      </c>
      <c r="C172" s="307">
        <v>107</v>
      </c>
      <c r="D172" s="259">
        <v>122</v>
      </c>
      <c r="E172" s="259">
        <v>179</v>
      </c>
      <c r="F172" s="259">
        <v>206</v>
      </c>
      <c r="G172" s="259">
        <v>237</v>
      </c>
      <c r="H172" s="259">
        <v>249</v>
      </c>
      <c r="I172" s="259">
        <v>404</v>
      </c>
      <c r="J172" s="259">
        <v>472</v>
      </c>
      <c r="K172" s="259">
        <v>465</v>
      </c>
      <c r="L172" s="259">
        <v>514</v>
      </c>
      <c r="M172" s="259">
        <v>611</v>
      </c>
      <c r="N172" s="259">
        <v>650</v>
      </c>
      <c r="O172" s="259">
        <v>641</v>
      </c>
      <c r="P172" s="259">
        <v>681</v>
      </c>
      <c r="Q172" s="149" t="s">
        <v>21</v>
      </c>
      <c r="R172" s="149" t="s">
        <v>21</v>
      </c>
      <c r="S172" s="149" t="s">
        <v>21</v>
      </c>
      <c r="T172" s="225" t="s">
        <v>21</v>
      </c>
    </row>
    <row r="173" spans="1:20" ht="10.199999999999999" customHeight="1">
      <c r="A173" s="83">
        <v>63</v>
      </c>
      <c r="B173" s="184" t="s">
        <v>2</v>
      </c>
      <c r="C173" s="318">
        <v>41.3</v>
      </c>
      <c r="D173" s="262">
        <v>49.5</v>
      </c>
      <c r="E173" s="262">
        <v>62.6</v>
      </c>
      <c r="F173" s="262">
        <v>75.7</v>
      </c>
      <c r="G173" s="262">
        <v>89</v>
      </c>
      <c r="H173" s="262">
        <v>99.4</v>
      </c>
      <c r="I173" s="237">
        <v>130</v>
      </c>
      <c r="J173" s="237">
        <v>162</v>
      </c>
      <c r="K173" s="237">
        <v>178</v>
      </c>
      <c r="L173" s="237">
        <v>207</v>
      </c>
      <c r="M173" s="237">
        <v>245</v>
      </c>
      <c r="N173" s="237">
        <v>264</v>
      </c>
      <c r="O173" s="237">
        <v>277</v>
      </c>
      <c r="P173" s="237">
        <v>300</v>
      </c>
      <c r="Q173" s="237">
        <v>370</v>
      </c>
      <c r="R173" s="237">
        <v>402</v>
      </c>
      <c r="S173" s="237">
        <v>472</v>
      </c>
      <c r="T173" s="316">
        <v>497</v>
      </c>
    </row>
    <row r="174" spans="1:20" ht="9" customHeight="1">
      <c r="A174" s="1"/>
      <c r="B174" s="2" t="s">
        <v>3</v>
      </c>
      <c r="C174" s="319">
        <v>62.1</v>
      </c>
      <c r="D174" s="320">
        <v>73.8</v>
      </c>
      <c r="E174" s="320">
        <v>97.2</v>
      </c>
      <c r="F174" s="258">
        <v>116</v>
      </c>
      <c r="G174" s="258">
        <v>137</v>
      </c>
      <c r="H174" s="258">
        <v>152</v>
      </c>
      <c r="I174" s="258">
        <v>205</v>
      </c>
      <c r="J174" s="258">
        <v>254</v>
      </c>
      <c r="K174" s="258">
        <v>253</v>
      </c>
      <c r="L174" s="258">
        <v>293</v>
      </c>
      <c r="M174" s="258">
        <v>379</v>
      </c>
      <c r="N174" s="258">
        <v>409</v>
      </c>
      <c r="O174" s="258">
        <v>414</v>
      </c>
      <c r="P174" s="258">
        <v>448</v>
      </c>
      <c r="Q174" s="258">
        <v>568</v>
      </c>
      <c r="R174" s="258">
        <v>617</v>
      </c>
      <c r="S174" s="258">
        <v>743</v>
      </c>
      <c r="T174" s="310">
        <v>781</v>
      </c>
    </row>
    <row r="175" spans="1:20" ht="9" customHeight="1">
      <c r="A175" s="1"/>
      <c r="B175" s="2" t="s">
        <v>5</v>
      </c>
      <c r="C175" s="319">
        <v>80.8</v>
      </c>
      <c r="D175" s="320">
        <v>95.9</v>
      </c>
      <c r="E175" s="258">
        <v>132</v>
      </c>
      <c r="F175" s="258">
        <v>157</v>
      </c>
      <c r="G175" s="258">
        <v>181</v>
      </c>
      <c r="H175" s="258">
        <v>195</v>
      </c>
      <c r="I175" s="258">
        <v>318</v>
      </c>
      <c r="J175" s="258">
        <v>378</v>
      </c>
      <c r="K175" s="258">
        <v>376</v>
      </c>
      <c r="L175" s="258">
        <v>423</v>
      </c>
      <c r="M175" s="258">
        <v>457</v>
      </c>
      <c r="N175" s="258">
        <v>488</v>
      </c>
      <c r="O175" s="258">
        <v>482</v>
      </c>
      <c r="P175" s="258">
        <v>513</v>
      </c>
      <c r="Q175" s="146" t="s">
        <v>21</v>
      </c>
      <c r="R175" s="146" t="s">
        <v>21</v>
      </c>
      <c r="S175" s="146" t="s">
        <v>21</v>
      </c>
      <c r="T175" s="223" t="s">
        <v>21</v>
      </c>
    </row>
    <row r="176" spans="1:20" ht="10.8" customHeight="1">
      <c r="A176" s="45"/>
      <c r="B176" s="185" t="s">
        <v>7</v>
      </c>
      <c r="C176" s="307">
        <v>100</v>
      </c>
      <c r="D176" s="259">
        <v>118</v>
      </c>
      <c r="E176" s="259">
        <v>163</v>
      </c>
      <c r="F176" s="259">
        <v>193</v>
      </c>
      <c r="G176" s="259">
        <v>224</v>
      </c>
      <c r="H176" s="259">
        <v>243</v>
      </c>
      <c r="I176" s="259">
        <v>384</v>
      </c>
      <c r="J176" s="259">
        <v>459</v>
      </c>
      <c r="K176" s="259">
        <v>443</v>
      </c>
      <c r="L176" s="259">
        <v>500</v>
      </c>
      <c r="M176" s="259">
        <v>580</v>
      </c>
      <c r="N176" s="259">
        <v>621</v>
      </c>
      <c r="O176" s="259">
        <v>608</v>
      </c>
      <c r="P176" s="259">
        <v>650</v>
      </c>
      <c r="Q176" s="149" t="s">
        <v>21</v>
      </c>
      <c r="R176" s="149" t="s">
        <v>21</v>
      </c>
      <c r="S176" s="149" t="s">
        <v>21</v>
      </c>
      <c r="T176" s="225" t="s">
        <v>21</v>
      </c>
    </row>
    <row r="177" spans="1:20" ht="10.199999999999999" customHeight="1">
      <c r="A177" s="83">
        <v>71</v>
      </c>
      <c r="B177" s="184" t="s">
        <v>2</v>
      </c>
      <c r="C177" s="318">
        <v>40.9</v>
      </c>
      <c r="D177" s="262">
        <v>47.1</v>
      </c>
      <c r="E177" s="262">
        <v>60.6</v>
      </c>
      <c r="F177" s="262">
        <v>72.3</v>
      </c>
      <c r="G177" s="262">
        <v>87.9</v>
      </c>
      <c r="H177" s="262">
        <v>94.9</v>
      </c>
      <c r="I177" s="237">
        <v>128</v>
      </c>
      <c r="J177" s="237">
        <v>152</v>
      </c>
      <c r="K177" s="237">
        <v>173</v>
      </c>
      <c r="L177" s="237">
        <v>201</v>
      </c>
      <c r="M177" s="237">
        <v>240</v>
      </c>
      <c r="N177" s="237">
        <v>253</v>
      </c>
      <c r="O177" s="237">
        <v>267</v>
      </c>
      <c r="P177" s="237">
        <v>286</v>
      </c>
      <c r="Q177" s="237">
        <v>366</v>
      </c>
      <c r="R177" s="237">
        <v>381</v>
      </c>
      <c r="S177" s="237">
        <v>453</v>
      </c>
      <c r="T177" s="316">
        <v>482</v>
      </c>
    </row>
    <row r="178" spans="1:20" ht="9" customHeight="1">
      <c r="A178" s="1"/>
      <c r="B178" s="2" t="s">
        <v>3</v>
      </c>
      <c r="C178" s="319">
        <v>61</v>
      </c>
      <c r="D178" s="320">
        <v>70</v>
      </c>
      <c r="E178" s="320">
        <v>93.4</v>
      </c>
      <c r="F178" s="258">
        <v>111</v>
      </c>
      <c r="G178" s="258">
        <v>135</v>
      </c>
      <c r="H178" s="258">
        <v>145</v>
      </c>
      <c r="I178" s="258">
        <v>201</v>
      </c>
      <c r="J178" s="258">
        <v>236</v>
      </c>
      <c r="K178" s="258">
        <v>245</v>
      </c>
      <c r="L178" s="258">
        <v>283</v>
      </c>
      <c r="M178" s="258">
        <v>368</v>
      </c>
      <c r="N178" s="258">
        <v>388</v>
      </c>
      <c r="O178" s="258">
        <v>398</v>
      </c>
      <c r="P178" s="258">
        <v>424</v>
      </c>
      <c r="Q178" s="258">
        <v>561</v>
      </c>
      <c r="R178" s="258">
        <v>580</v>
      </c>
      <c r="S178" s="258">
        <v>704</v>
      </c>
      <c r="T178" s="310">
        <v>751</v>
      </c>
    </row>
    <row r="179" spans="1:20" ht="9" customHeight="1">
      <c r="A179" s="1"/>
      <c r="B179" s="2" t="s">
        <v>5</v>
      </c>
      <c r="C179" s="319">
        <v>79.8</v>
      </c>
      <c r="D179" s="320">
        <v>89.6</v>
      </c>
      <c r="E179" s="258">
        <v>127</v>
      </c>
      <c r="F179" s="258">
        <v>147</v>
      </c>
      <c r="G179" s="258">
        <v>178</v>
      </c>
      <c r="H179" s="258">
        <v>187</v>
      </c>
      <c r="I179" s="258">
        <v>312</v>
      </c>
      <c r="J179" s="258">
        <v>354</v>
      </c>
      <c r="K179" s="258">
        <v>365</v>
      </c>
      <c r="L179" s="258">
        <v>410</v>
      </c>
      <c r="M179" s="258">
        <v>446</v>
      </c>
      <c r="N179" s="258">
        <v>464</v>
      </c>
      <c r="O179" s="258">
        <v>465</v>
      </c>
      <c r="P179" s="258">
        <v>488</v>
      </c>
      <c r="Q179" s="146" t="s">
        <v>21</v>
      </c>
      <c r="R179" s="146" t="s">
        <v>21</v>
      </c>
      <c r="S179" s="146" t="s">
        <v>21</v>
      </c>
      <c r="T179" s="223" t="s">
        <v>21</v>
      </c>
    </row>
    <row r="180" spans="1:20" ht="10.8" customHeight="1">
      <c r="A180" s="45"/>
      <c r="B180" s="185" t="s">
        <v>7</v>
      </c>
      <c r="C180" s="321">
        <v>98</v>
      </c>
      <c r="D180" s="259">
        <v>110</v>
      </c>
      <c r="E180" s="259">
        <v>156</v>
      </c>
      <c r="F180" s="259">
        <v>182</v>
      </c>
      <c r="G180" s="259">
        <v>220</v>
      </c>
      <c r="H180" s="259">
        <v>232</v>
      </c>
      <c r="I180" s="259">
        <v>376</v>
      </c>
      <c r="J180" s="259">
        <v>428</v>
      </c>
      <c r="K180" s="259">
        <v>429</v>
      </c>
      <c r="L180" s="259">
        <v>484</v>
      </c>
      <c r="M180" s="259">
        <v>564</v>
      </c>
      <c r="N180" s="259">
        <v>589</v>
      </c>
      <c r="O180" s="259">
        <v>586</v>
      </c>
      <c r="P180" s="259">
        <v>616</v>
      </c>
      <c r="Q180" s="149" t="s">
        <v>21</v>
      </c>
      <c r="R180" s="149" t="s">
        <v>21</v>
      </c>
      <c r="S180" s="149" t="s">
        <v>21</v>
      </c>
      <c r="T180" s="225" t="s">
        <v>21</v>
      </c>
    </row>
    <row r="181" spans="1:20" ht="10.199999999999999" customHeight="1">
      <c r="A181" s="83">
        <v>80</v>
      </c>
      <c r="B181" s="184" t="s">
        <v>2</v>
      </c>
      <c r="C181" s="318">
        <v>38.5</v>
      </c>
      <c r="D181" s="262">
        <v>44.5</v>
      </c>
      <c r="E181" s="262">
        <v>59.4</v>
      </c>
      <c r="F181" s="262">
        <v>67.3</v>
      </c>
      <c r="G181" s="262">
        <v>83.5</v>
      </c>
      <c r="H181" s="262">
        <v>90</v>
      </c>
      <c r="I181" s="237">
        <v>121</v>
      </c>
      <c r="J181" s="237">
        <v>145</v>
      </c>
      <c r="K181" s="237">
        <v>169</v>
      </c>
      <c r="L181" s="237">
        <v>191</v>
      </c>
      <c r="M181" s="237">
        <v>232</v>
      </c>
      <c r="N181" s="237">
        <v>247</v>
      </c>
      <c r="O181" s="237">
        <v>259</v>
      </c>
      <c r="P181" s="237">
        <v>276</v>
      </c>
      <c r="Q181" s="237">
        <v>349</v>
      </c>
      <c r="R181" s="237">
        <v>377</v>
      </c>
      <c r="S181" s="237">
        <v>439</v>
      </c>
      <c r="T181" s="316">
        <v>461</v>
      </c>
    </row>
    <row r="182" spans="1:20" ht="9" customHeight="1">
      <c r="A182" s="1"/>
      <c r="B182" s="2" t="s">
        <v>3</v>
      </c>
      <c r="C182" s="319">
        <v>57.2</v>
      </c>
      <c r="D182" s="320">
        <v>65.900000000000006</v>
      </c>
      <c r="E182" s="320">
        <v>91.2</v>
      </c>
      <c r="F182" s="258">
        <v>103</v>
      </c>
      <c r="G182" s="258">
        <v>127</v>
      </c>
      <c r="H182" s="258">
        <v>137</v>
      </c>
      <c r="I182" s="258">
        <v>190</v>
      </c>
      <c r="J182" s="258">
        <v>223</v>
      </c>
      <c r="K182" s="258">
        <v>238</v>
      </c>
      <c r="L182" s="258">
        <v>268</v>
      </c>
      <c r="M182" s="258">
        <v>355</v>
      </c>
      <c r="N182" s="258">
        <v>378</v>
      </c>
      <c r="O182" s="258">
        <v>384</v>
      </c>
      <c r="P182" s="258">
        <v>408</v>
      </c>
      <c r="Q182" s="258">
        <v>531</v>
      </c>
      <c r="R182" s="258">
        <v>572</v>
      </c>
      <c r="S182" s="258">
        <v>675</v>
      </c>
      <c r="T182" s="310">
        <v>712</v>
      </c>
    </row>
    <row r="183" spans="1:20" ht="9" customHeight="1">
      <c r="A183" s="1"/>
      <c r="B183" s="2" t="s">
        <v>5</v>
      </c>
      <c r="C183" s="319">
        <v>73.5</v>
      </c>
      <c r="D183" s="320">
        <v>83</v>
      </c>
      <c r="E183" s="258">
        <v>122</v>
      </c>
      <c r="F183" s="258">
        <v>134</v>
      </c>
      <c r="G183" s="258">
        <v>169</v>
      </c>
      <c r="H183" s="258">
        <v>177</v>
      </c>
      <c r="I183" s="258">
        <v>296</v>
      </c>
      <c r="J183" s="258">
        <v>334</v>
      </c>
      <c r="K183" s="258">
        <v>356</v>
      </c>
      <c r="L183" s="258">
        <v>390</v>
      </c>
      <c r="M183" s="258">
        <v>432</v>
      </c>
      <c r="N183" s="258">
        <v>453</v>
      </c>
      <c r="O183" s="258">
        <v>450</v>
      </c>
      <c r="P183" s="258">
        <v>472</v>
      </c>
      <c r="Q183" s="146" t="s">
        <v>21</v>
      </c>
      <c r="R183" s="146" t="s">
        <v>21</v>
      </c>
      <c r="S183" s="146" t="s">
        <v>21</v>
      </c>
      <c r="T183" s="223" t="s">
        <v>21</v>
      </c>
    </row>
    <row r="184" spans="1:20" ht="10.8" customHeight="1">
      <c r="A184" s="45"/>
      <c r="B184" s="185" t="s">
        <v>7</v>
      </c>
      <c r="C184" s="321">
        <v>90.4</v>
      </c>
      <c r="D184" s="259">
        <v>103</v>
      </c>
      <c r="E184" s="259">
        <v>151</v>
      </c>
      <c r="F184" s="259">
        <v>166</v>
      </c>
      <c r="G184" s="259">
        <v>209</v>
      </c>
      <c r="H184" s="259">
        <v>219</v>
      </c>
      <c r="I184" s="259">
        <v>355</v>
      </c>
      <c r="J184" s="259">
        <v>404</v>
      </c>
      <c r="K184" s="259">
        <v>418</v>
      </c>
      <c r="L184" s="259">
        <v>460</v>
      </c>
      <c r="M184" s="259">
        <v>545</v>
      </c>
      <c r="N184" s="259">
        <v>573</v>
      </c>
      <c r="O184" s="259">
        <v>566</v>
      </c>
      <c r="P184" s="259">
        <v>594</v>
      </c>
      <c r="Q184" s="149" t="s">
        <v>21</v>
      </c>
      <c r="R184" s="149" t="s">
        <v>21</v>
      </c>
      <c r="S184" s="149" t="s">
        <v>21</v>
      </c>
      <c r="T184" s="225" t="s">
        <v>21</v>
      </c>
    </row>
    <row r="185" spans="1:20" ht="10.199999999999999" customHeight="1">
      <c r="A185" s="83">
        <v>90</v>
      </c>
      <c r="B185" s="184" t="s">
        <v>2</v>
      </c>
      <c r="C185" s="318">
        <v>37.9</v>
      </c>
      <c r="D185" s="262">
        <v>44.1</v>
      </c>
      <c r="E185" s="262">
        <v>55.8</v>
      </c>
      <c r="F185" s="262">
        <v>65.099999999999994</v>
      </c>
      <c r="G185" s="262">
        <v>78.7</v>
      </c>
      <c r="H185" s="262">
        <v>88.7</v>
      </c>
      <c r="I185" s="237">
        <v>118</v>
      </c>
      <c r="J185" s="237">
        <v>142</v>
      </c>
      <c r="K185" s="237">
        <v>160</v>
      </c>
      <c r="L185" s="237">
        <v>186</v>
      </c>
      <c r="M185" s="237">
        <v>220</v>
      </c>
      <c r="N185" s="237">
        <v>239</v>
      </c>
      <c r="O185" s="237">
        <v>245</v>
      </c>
      <c r="P185" s="237">
        <v>267</v>
      </c>
      <c r="Q185" s="237">
        <v>335</v>
      </c>
      <c r="R185" s="237">
        <v>359</v>
      </c>
      <c r="S185" s="237">
        <v>429</v>
      </c>
      <c r="T185" s="316">
        <v>447</v>
      </c>
    </row>
    <row r="186" spans="1:20" ht="9" customHeight="1">
      <c r="A186" s="1"/>
      <c r="B186" s="2" t="s">
        <v>3</v>
      </c>
      <c r="C186" s="319">
        <v>56</v>
      </c>
      <c r="D186" s="320">
        <v>64.8</v>
      </c>
      <c r="E186" s="320">
        <v>85.4</v>
      </c>
      <c r="F186" s="320">
        <v>98.5</v>
      </c>
      <c r="G186" s="258">
        <v>120</v>
      </c>
      <c r="H186" s="258">
        <v>134</v>
      </c>
      <c r="I186" s="258">
        <v>184</v>
      </c>
      <c r="J186" s="258">
        <v>219</v>
      </c>
      <c r="K186" s="258">
        <v>224</v>
      </c>
      <c r="L186" s="258">
        <v>260</v>
      </c>
      <c r="M186" s="258">
        <v>335</v>
      </c>
      <c r="N186" s="258">
        <v>364</v>
      </c>
      <c r="O186" s="258">
        <v>362</v>
      </c>
      <c r="P186" s="258">
        <v>394</v>
      </c>
      <c r="Q186" s="258">
        <v>506</v>
      </c>
      <c r="R186" s="258">
        <v>541</v>
      </c>
      <c r="S186" s="258">
        <v>657</v>
      </c>
      <c r="T186" s="310">
        <v>681</v>
      </c>
    </row>
    <row r="187" spans="1:20" ht="9" customHeight="1">
      <c r="A187" s="1"/>
      <c r="B187" s="2" t="s">
        <v>5</v>
      </c>
      <c r="C187" s="319">
        <v>70.900000000000006</v>
      </c>
      <c r="D187" s="320">
        <v>81.900000000000006</v>
      </c>
      <c r="E187" s="258">
        <v>112</v>
      </c>
      <c r="F187" s="258">
        <v>129</v>
      </c>
      <c r="G187" s="258">
        <v>160</v>
      </c>
      <c r="H187" s="258">
        <v>174</v>
      </c>
      <c r="I187" s="258">
        <v>284</v>
      </c>
      <c r="J187" s="258">
        <v>325</v>
      </c>
      <c r="K187" s="258">
        <v>337</v>
      </c>
      <c r="L187" s="258">
        <v>379</v>
      </c>
      <c r="M187" s="258">
        <v>410</v>
      </c>
      <c r="N187" s="258">
        <v>439</v>
      </c>
      <c r="O187" s="258">
        <v>427</v>
      </c>
      <c r="P187" s="258">
        <v>457</v>
      </c>
      <c r="Q187" s="146" t="s">
        <v>21</v>
      </c>
      <c r="R187" s="146" t="s">
        <v>21</v>
      </c>
      <c r="S187" s="146" t="s">
        <v>21</v>
      </c>
      <c r="T187" s="223" t="s">
        <v>21</v>
      </c>
    </row>
    <row r="188" spans="1:20" ht="10.8" customHeight="1">
      <c r="A188" s="45"/>
      <c r="B188" s="185" t="s">
        <v>7</v>
      </c>
      <c r="C188" s="155" t="s">
        <v>1</v>
      </c>
      <c r="D188" s="259">
        <v>101</v>
      </c>
      <c r="E188" s="259">
        <v>139</v>
      </c>
      <c r="F188" s="259">
        <v>159</v>
      </c>
      <c r="G188" s="259">
        <v>197</v>
      </c>
      <c r="H188" s="259">
        <v>215</v>
      </c>
      <c r="I188" s="259">
        <v>342</v>
      </c>
      <c r="J188" s="259">
        <v>393</v>
      </c>
      <c r="K188" s="259">
        <v>395</v>
      </c>
      <c r="L188" s="259">
        <v>446</v>
      </c>
      <c r="M188" s="259">
        <v>516</v>
      </c>
      <c r="N188" s="259">
        <v>554</v>
      </c>
      <c r="O188" s="259">
        <v>534</v>
      </c>
      <c r="P188" s="259">
        <v>573</v>
      </c>
      <c r="Q188" s="149" t="s">
        <v>21</v>
      </c>
      <c r="R188" s="149" t="s">
        <v>21</v>
      </c>
      <c r="S188" s="149" t="s">
        <v>21</v>
      </c>
      <c r="T188" s="225" t="s">
        <v>21</v>
      </c>
    </row>
    <row r="189" spans="1:20" ht="10.199999999999999" customHeight="1">
      <c r="A189" s="83">
        <v>100</v>
      </c>
      <c r="B189" s="184" t="s">
        <v>2</v>
      </c>
      <c r="C189" s="153" t="s">
        <v>1</v>
      </c>
      <c r="D189" s="262">
        <v>41.5</v>
      </c>
      <c r="E189" s="85" t="s">
        <v>1</v>
      </c>
      <c r="F189" s="262">
        <v>63.7</v>
      </c>
      <c r="G189" s="85" t="s">
        <v>1</v>
      </c>
      <c r="H189" s="237">
        <v>84</v>
      </c>
      <c r="I189" s="85" t="s">
        <v>1</v>
      </c>
      <c r="J189" s="237">
        <v>135</v>
      </c>
      <c r="K189" s="85" t="s">
        <v>1</v>
      </c>
      <c r="L189" s="237">
        <v>182</v>
      </c>
      <c r="M189" s="85" t="s">
        <v>1</v>
      </c>
      <c r="N189" s="237">
        <v>227</v>
      </c>
      <c r="O189" s="85" t="s">
        <v>1</v>
      </c>
      <c r="P189" s="237">
        <v>253</v>
      </c>
      <c r="Q189" s="85" t="s">
        <v>1</v>
      </c>
      <c r="R189" s="237">
        <v>344</v>
      </c>
      <c r="S189" s="85" t="s">
        <v>1</v>
      </c>
      <c r="T189" s="316">
        <v>437</v>
      </c>
    </row>
    <row r="190" spans="1:20" ht="9" customHeight="1">
      <c r="A190" s="1"/>
      <c r="B190" s="2" t="s">
        <v>3</v>
      </c>
      <c r="C190" s="154" t="s">
        <v>1</v>
      </c>
      <c r="D190" s="320">
        <v>60.7</v>
      </c>
      <c r="E190" s="146" t="s">
        <v>1</v>
      </c>
      <c r="F190" s="320">
        <v>96.1</v>
      </c>
      <c r="G190" s="146" t="s">
        <v>1</v>
      </c>
      <c r="H190" s="258">
        <v>127</v>
      </c>
      <c r="I190" s="146" t="s">
        <v>1</v>
      </c>
      <c r="J190" s="258">
        <v>207</v>
      </c>
      <c r="K190" s="146" t="s">
        <v>1</v>
      </c>
      <c r="L190" s="258">
        <v>253</v>
      </c>
      <c r="M190" s="146" t="s">
        <v>1</v>
      </c>
      <c r="N190" s="258">
        <v>344</v>
      </c>
      <c r="O190" s="146" t="s">
        <v>1</v>
      </c>
      <c r="P190" s="258">
        <v>371</v>
      </c>
      <c r="Q190" s="146" t="s">
        <v>1</v>
      </c>
      <c r="R190" s="258">
        <v>516</v>
      </c>
      <c r="S190" s="146" t="s">
        <v>1</v>
      </c>
      <c r="T190" s="310">
        <v>663</v>
      </c>
    </row>
    <row r="191" spans="1:20" ht="9" customHeight="1">
      <c r="A191" s="1"/>
      <c r="B191" s="2" t="s">
        <v>5</v>
      </c>
      <c r="C191" s="154" t="s">
        <v>1</v>
      </c>
      <c r="D191" s="320">
        <v>75.5</v>
      </c>
      <c r="E191" s="146" t="s">
        <v>1</v>
      </c>
      <c r="F191" s="258">
        <v>124</v>
      </c>
      <c r="G191" s="146" t="s">
        <v>1</v>
      </c>
      <c r="H191" s="258">
        <v>166</v>
      </c>
      <c r="I191" s="146" t="s">
        <v>1</v>
      </c>
      <c r="J191" s="258">
        <v>300</v>
      </c>
      <c r="K191" s="146" t="s">
        <v>1</v>
      </c>
      <c r="L191" s="258">
        <v>370</v>
      </c>
      <c r="M191" s="146" t="s">
        <v>1</v>
      </c>
      <c r="N191" s="258">
        <v>416</v>
      </c>
      <c r="O191" s="146" t="s">
        <v>1</v>
      </c>
      <c r="P191" s="258">
        <v>433</v>
      </c>
      <c r="Q191" s="146" t="s">
        <v>1</v>
      </c>
      <c r="R191" s="146" t="s">
        <v>21</v>
      </c>
      <c r="S191" s="146" t="s">
        <v>1</v>
      </c>
      <c r="T191" s="223" t="s">
        <v>21</v>
      </c>
    </row>
    <row r="192" spans="1:20" ht="10.8" customHeight="1">
      <c r="A192" s="45"/>
      <c r="B192" s="185" t="s">
        <v>7</v>
      </c>
      <c r="C192" s="155" t="s">
        <v>1</v>
      </c>
      <c r="D192" s="322">
        <v>93.1</v>
      </c>
      <c r="E192" s="149" t="s">
        <v>1</v>
      </c>
      <c r="F192" s="259">
        <v>153</v>
      </c>
      <c r="G192" s="149" t="s">
        <v>1</v>
      </c>
      <c r="H192" s="259">
        <v>204</v>
      </c>
      <c r="I192" s="149" t="s">
        <v>1</v>
      </c>
      <c r="J192" s="259">
        <v>364</v>
      </c>
      <c r="K192" s="149" t="s">
        <v>1</v>
      </c>
      <c r="L192" s="259">
        <v>434</v>
      </c>
      <c r="M192" s="149" t="s">
        <v>1</v>
      </c>
      <c r="N192" s="259">
        <v>524</v>
      </c>
      <c r="O192" s="149" t="s">
        <v>1</v>
      </c>
      <c r="P192" s="259">
        <v>541</v>
      </c>
      <c r="Q192" s="149" t="s">
        <v>1</v>
      </c>
      <c r="R192" s="149" t="s">
        <v>21</v>
      </c>
      <c r="S192" s="149" t="s">
        <v>1</v>
      </c>
      <c r="T192" s="225" t="s">
        <v>21</v>
      </c>
    </row>
    <row r="193" spans="1:20" ht="10.199999999999999" customHeight="1">
      <c r="A193" s="83">
        <v>112</v>
      </c>
      <c r="B193" s="184" t="s">
        <v>2</v>
      </c>
      <c r="C193" s="153" t="s">
        <v>1</v>
      </c>
      <c r="D193" s="262">
        <v>40.799999999999997</v>
      </c>
      <c r="E193" s="85" t="s">
        <v>1</v>
      </c>
      <c r="F193" s="262">
        <v>59.9</v>
      </c>
      <c r="G193" s="85" t="s">
        <v>1</v>
      </c>
      <c r="H193" s="262">
        <v>79.599999999999994</v>
      </c>
      <c r="I193" s="85" t="s">
        <v>1</v>
      </c>
      <c r="J193" s="237">
        <v>131</v>
      </c>
      <c r="K193" s="85" t="s">
        <v>1</v>
      </c>
      <c r="L193" s="237">
        <v>172</v>
      </c>
      <c r="M193" s="85" t="s">
        <v>1</v>
      </c>
      <c r="N193" s="85" t="s">
        <v>1</v>
      </c>
      <c r="O193" s="85" t="s">
        <v>1</v>
      </c>
      <c r="P193" s="85" t="s">
        <v>1</v>
      </c>
      <c r="Q193" s="85" t="s">
        <v>1</v>
      </c>
      <c r="R193" s="85" t="s">
        <v>1</v>
      </c>
      <c r="S193" s="85" t="s">
        <v>1</v>
      </c>
      <c r="T193" s="221" t="s">
        <v>1</v>
      </c>
    </row>
    <row r="194" spans="1:20" ht="9" customHeight="1">
      <c r="A194" s="1"/>
      <c r="B194" s="2" t="s">
        <v>3</v>
      </c>
      <c r="C194" s="154" t="s">
        <v>1</v>
      </c>
      <c r="D194" s="320">
        <v>59.5</v>
      </c>
      <c r="E194" s="146" t="s">
        <v>1</v>
      </c>
      <c r="F194" s="320">
        <v>90</v>
      </c>
      <c r="G194" s="146" t="s">
        <v>1</v>
      </c>
      <c r="H194" s="258">
        <v>119</v>
      </c>
      <c r="I194" s="146" t="s">
        <v>1</v>
      </c>
      <c r="J194" s="258">
        <v>201</v>
      </c>
      <c r="K194" s="146" t="s">
        <v>1</v>
      </c>
      <c r="L194" s="258">
        <v>238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0" ht="9" customHeight="1">
      <c r="A195" s="1"/>
      <c r="B195" s="2" t="s">
        <v>5</v>
      </c>
      <c r="C195" s="154" t="s">
        <v>1</v>
      </c>
      <c r="D195" s="320">
        <v>72.900000000000006</v>
      </c>
      <c r="E195" s="146" t="s">
        <v>1</v>
      </c>
      <c r="F195" s="258">
        <v>114</v>
      </c>
      <c r="G195" s="146" t="s">
        <v>1</v>
      </c>
      <c r="H195" s="258">
        <v>157</v>
      </c>
      <c r="I195" s="146" t="s">
        <v>1</v>
      </c>
      <c r="J195" s="258">
        <v>289</v>
      </c>
      <c r="K195" s="146" t="s">
        <v>1</v>
      </c>
      <c r="L195" s="258">
        <v>350</v>
      </c>
      <c r="M195" s="146" t="s">
        <v>1</v>
      </c>
      <c r="N195" s="146" t="s">
        <v>1</v>
      </c>
      <c r="O195" s="146" t="s">
        <v>1</v>
      </c>
      <c r="P195" s="146" t="s">
        <v>1</v>
      </c>
      <c r="Q195" s="146" t="s">
        <v>1</v>
      </c>
      <c r="R195" s="146" t="s">
        <v>1</v>
      </c>
      <c r="S195" s="146" t="s">
        <v>1</v>
      </c>
      <c r="T195" s="223" t="s">
        <v>1</v>
      </c>
    </row>
    <row r="196" spans="1:20" ht="10.8" customHeight="1">
      <c r="A196" s="392"/>
      <c r="B196" s="393" t="s">
        <v>7</v>
      </c>
      <c r="C196" s="378" t="s">
        <v>1</v>
      </c>
      <c r="D196" s="379" t="s">
        <v>1</v>
      </c>
      <c r="E196" s="379" t="s">
        <v>1</v>
      </c>
      <c r="F196" s="379" t="s">
        <v>1</v>
      </c>
      <c r="G196" s="379" t="s">
        <v>1</v>
      </c>
      <c r="H196" s="371">
        <v>193</v>
      </c>
      <c r="I196" s="379" t="s">
        <v>1</v>
      </c>
      <c r="J196" s="371">
        <v>350</v>
      </c>
      <c r="K196" s="379" t="s">
        <v>1</v>
      </c>
      <c r="L196" s="371">
        <v>410</v>
      </c>
      <c r="M196" s="379" t="s">
        <v>1</v>
      </c>
      <c r="N196" s="379" t="s">
        <v>1</v>
      </c>
      <c r="O196" s="379" t="s">
        <v>1</v>
      </c>
      <c r="P196" s="379" t="s">
        <v>1</v>
      </c>
      <c r="Q196" s="379" t="s">
        <v>1</v>
      </c>
      <c r="R196" s="379" t="s">
        <v>1</v>
      </c>
      <c r="S196" s="379" t="s">
        <v>1</v>
      </c>
      <c r="T196" s="380" t="s">
        <v>1</v>
      </c>
    </row>
    <row r="197" spans="1:20" ht="10.8" customHeight="1">
      <c r="A197" s="1"/>
      <c r="B197" s="2"/>
      <c r="C197" s="428"/>
      <c r="D197" s="428"/>
      <c r="E197" s="428"/>
      <c r="F197" s="428"/>
      <c r="G197" s="428"/>
      <c r="H197" s="429"/>
      <c r="I197" s="428"/>
      <c r="J197" s="429"/>
      <c r="K197" s="428"/>
      <c r="L197" s="429"/>
      <c r="M197" s="428"/>
      <c r="N197" s="428"/>
      <c r="O197" s="428"/>
      <c r="P197" s="428"/>
      <c r="Q197" s="428"/>
      <c r="R197" s="428"/>
      <c r="S197" s="428"/>
      <c r="T197" s="428"/>
    </row>
    <row r="198" spans="1:20" ht="10.8" customHeight="1">
      <c r="A198" s="1"/>
      <c r="B198" s="2"/>
      <c r="C198" s="428"/>
      <c r="D198" s="428"/>
      <c r="E198" s="428"/>
      <c r="F198" s="428"/>
      <c r="G198" s="428"/>
      <c r="H198" s="429"/>
      <c r="I198" s="428"/>
      <c r="J198" s="429"/>
      <c r="K198" s="428"/>
      <c r="L198" s="429"/>
      <c r="M198" s="428"/>
      <c r="N198" s="428"/>
      <c r="O198" s="428"/>
      <c r="P198" s="428"/>
      <c r="Q198" s="428"/>
      <c r="R198" s="428"/>
      <c r="S198" s="428"/>
      <c r="T198" s="428"/>
    </row>
    <row r="199" spans="1:20" ht="10.8" customHeight="1">
      <c r="A199" s="1"/>
      <c r="B199" s="2"/>
      <c r="C199" s="428"/>
      <c r="D199" s="428"/>
      <c r="E199" s="428"/>
      <c r="F199" s="428"/>
      <c r="G199" s="428"/>
      <c r="H199" s="429"/>
      <c r="I199" s="428"/>
      <c r="J199" s="429"/>
      <c r="K199" s="428"/>
      <c r="L199" s="429"/>
      <c r="M199" s="428"/>
      <c r="N199" s="428"/>
      <c r="O199" s="428"/>
      <c r="P199" s="428"/>
      <c r="Q199" s="428"/>
      <c r="R199" s="428"/>
      <c r="S199" s="428"/>
      <c r="T199" s="428"/>
    </row>
    <row r="200" spans="1:20" ht="10.8" customHeight="1">
      <c r="A200" s="1"/>
      <c r="B200" s="2"/>
      <c r="C200" s="428"/>
      <c r="D200" s="428"/>
      <c r="E200" s="428"/>
      <c r="F200" s="428"/>
      <c r="G200" s="428"/>
      <c r="H200" s="429"/>
      <c r="I200" s="428"/>
      <c r="J200" s="429"/>
      <c r="K200" s="428"/>
      <c r="L200" s="429"/>
      <c r="M200" s="428"/>
      <c r="N200" s="428"/>
      <c r="O200" s="428"/>
      <c r="P200" s="428"/>
      <c r="Q200" s="428"/>
      <c r="R200" s="428"/>
      <c r="S200" s="428"/>
      <c r="T200" s="428"/>
    </row>
    <row r="201" spans="1:20" ht="10.8" customHeight="1">
      <c r="A201" s="1"/>
      <c r="B201" s="2"/>
      <c r="C201" s="428"/>
      <c r="D201" s="428"/>
      <c r="E201" s="428"/>
      <c r="F201" s="428"/>
      <c r="G201" s="428"/>
      <c r="H201" s="429"/>
      <c r="I201" s="428"/>
      <c r="J201" s="429"/>
      <c r="K201" s="428"/>
      <c r="L201" s="429"/>
      <c r="M201" s="428"/>
      <c r="N201" s="428"/>
      <c r="O201" s="428"/>
      <c r="P201" s="428"/>
      <c r="Q201" s="428"/>
      <c r="R201" s="428"/>
      <c r="S201" s="428"/>
      <c r="T201" s="428"/>
    </row>
    <row r="202" spans="1:20" ht="10.8" customHeight="1">
      <c r="A202" s="1"/>
      <c r="B202" s="2"/>
      <c r="C202" s="428"/>
      <c r="D202" s="428"/>
      <c r="E202" s="428"/>
      <c r="F202" s="428"/>
      <c r="G202" s="428"/>
      <c r="H202" s="429"/>
      <c r="I202" s="428"/>
      <c r="J202" s="429"/>
      <c r="K202" s="428"/>
      <c r="L202" s="429"/>
      <c r="M202" s="428"/>
      <c r="N202" s="428"/>
      <c r="O202" s="428"/>
      <c r="P202" s="428"/>
      <c r="Q202" s="428"/>
      <c r="R202" s="428"/>
      <c r="S202" s="428"/>
      <c r="T202" s="428"/>
    </row>
    <row r="203" spans="1:20" ht="10.8" customHeight="1">
      <c r="A203" s="1"/>
      <c r="B203" s="2"/>
      <c r="C203" s="428"/>
      <c r="D203" s="428"/>
      <c r="E203" s="428"/>
      <c r="F203" s="428"/>
      <c r="G203" s="428"/>
      <c r="H203" s="429"/>
      <c r="I203" s="428"/>
      <c r="J203" s="429"/>
      <c r="K203" s="428"/>
      <c r="L203" s="429"/>
      <c r="M203" s="428"/>
      <c r="N203" s="428"/>
      <c r="O203" s="428"/>
      <c r="P203" s="428"/>
      <c r="Q203" s="428"/>
      <c r="R203" s="428"/>
      <c r="S203" s="428"/>
      <c r="T203" s="428"/>
    </row>
    <row r="204" spans="1:20" ht="10.8" customHeight="1">
      <c r="A204" s="1"/>
      <c r="B204" s="2"/>
      <c r="C204" s="428"/>
      <c r="D204" s="428"/>
      <c r="E204" s="428"/>
      <c r="F204" s="428"/>
      <c r="G204" s="428"/>
      <c r="H204" s="429"/>
      <c r="I204" s="428"/>
      <c r="J204" s="429"/>
      <c r="K204" s="428"/>
      <c r="L204" s="429"/>
      <c r="M204" s="428"/>
      <c r="N204" s="428"/>
      <c r="O204" s="428"/>
      <c r="P204" s="428"/>
      <c r="Q204" s="428"/>
      <c r="R204" s="428"/>
      <c r="S204" s="428"/>
      <c r="T204" s="428"/>
    </row>
    <row r="205" spans="1:20" ht="10.8" customHeight="1">
      <c r="A205" s="1"/>
      <c r="B205" s="2"/>
      <c r="C205" s="428"/>
      <c r="D205" s="428"/>
      <c r="E205" s="428"/>
      <c r="F205" s="428"/>
      <c r="G205" s="428"/>
      <c r="H205" s="429"/>
      <c r="I205" s="428"/>
      <c r="J205" s="429"/>
      <c r="K205" s="428"/>
      <c r="L205" s="429"/>
      <c r="M205" s="428"/>
      <c r="N205" s="428"/>
      <c r="O205" s="428"/>
      <c r="P205" s="428"/>
      <c r="Q205" s="428"/>
      <c r="R205" s="428"/>
      <c r="S205" s="428"/>
      <c r="T205" s="428"/>
    </row>
    <row r="206" spans="1:20" ht="10.8" customHeight="1">
      <c r="A206" s="1"/>
      <c r="B206" s="2"/>
      <c r="C206" s="428"/>
      <c r="D206" s="428"/>
      <c r="E206" s="428"/>
      <c r="F206" s="428"/>
      <c r="G206" s="428"/>
      <c r="H206" s="429"/>
      <c r="I206" s="428"/>
      <c r="J206" s="429"/>
      <c r="K206" s="428"/>
      <c r="L206" s="429"/>
      <c r="M206" s="428"/>
      <c r="N206" s="428"/>
      <c r="O206" s="428"/>
      <c r="P206" s="428"/>
      <c r="Q206" s="428"/>
      <c r="R206" s="428"/>
      <c r="S206" s="428"/>
      <c r="T206" s="428"/>
    </row>
    <row r="207" spans="1:20" ht="10.8" customHeight="1">
      <c r="A207" s="1"/>
      <c r="B207" s="2"/>
      <c r="C207" s="428"/>
      <c r="D207" s="428"/>
      <c r="E207" s="428"/>
      <c r="F207" s="428"/>
      <c r="G207" s="428"/>
      <c r="H207" s="429"/>
      <c r="I207" s="428"/>
      <c r="J207" s="429"/>
      <c r="K207" s="428"/>
      <c r="L207" s="429"/>
      <c r="M207" s="428"/>
      <c r="N207" s="428"/>
      <c r="O207" s="428"/>
      <c r="P207" s="428"/>
      <c r="Q207" s="428"/>
      <c r="R207" s="428"/>
      <c r="S207" s="428"/>
      <c r="T207" s="428"/>
    </row>
    <row r="208" spans="1:20" ht="10.8" customHeight="1">
      <c r="A208" s="1"/>
      <c r="B208" s="2"/>
      <c r="C208" s="428"/>
      <c r="D208" s="428"/>
      <c r="E208" s="428"/>
      <c r="F208" s="428"/>
      <c r="G208" s="428"/>
      <c r="H208" s="429"/>
      <c r="I208" s="428"/>
      <c r="J208" s="429"/>
      <c r="K208" s="428"/>
      <c r="L208" s="429"/>
      <c r="M208" s="428"/>
      <c r="N208" s="428"/>
      <c r="O208" s="428"/>
      <c r="P208" s="428"/>
      <c r="Q208" s="428"/>
      <c r="R208" s="428"/>
      <c r="S208" s="428"/>
      <c r="T208" s="428"/>
    </row>
    <row r="209" spans="1:21" ht="10.8" customHeight="1">
      <c r="A209" s="1"/>
      <c r="B209" s="2"/>
      <c r="C209" s="428"/>
      <c r="D209" s="428"/>
      <c r="E209" s="428"/>
      <c r="F209" s="428"/>
      <c r="G209" s="428"/>
      <c r="H209" s="429"/>
      <c r="I209" s="428"/>
      <c r="J209" s="429"/>
      <c r="K209" s="428"/>
      <c r="L209" s="429"/>
      <c r="M209" s="428"/>
      <c r="N209" s="428"/>
      <c r="O209" s="428"/>
      <c r="P209" s="428"/>
      <c r="Q209" s="428"/>
      <c r="R209" s="428"/>
      <c r="S209" s="428"/>
      <c r="T209" s="428"/>
    </row>
    <row r="210" spans="1:21" ht="10.8" customHeight="1">
      <c r="A210" s="1"/>
      <c r="B210" s="2"/>
      <c r="C210" s="428"/>
      <c r="D210" s="428"/>
      <c r="E210" s="428"/>
      <c r="F210" s="428"/>
      <c r="G210" s="428"/>
      <c r="H210" s="429"/>
      <c r="I210" s="428"/>
      <c r="J210" s="429"/>
      <c r="K210" s="428"/>
      <c r="L210" s="429"/>
      <c r="M210" s="428"/>
      <c r="N210" s="428"/>
      <c r="O210" s="428"/>
      <c r="P210" s="428"/>
      <c r="Q210" s="428"/>
      <c r="R210" s="428"/>
      <c r="S210" s="428"/>
      <c r="T210" s="428"/>
    </row>
    <row r="211" spans="1:21" ht="10.8" customHeight="1">
      <c r="A211" s="1"/>
      <c r="B211" s="2"/>
      <c r="C211" s="428"/>
      <c r="D211" s="428"/>
      <c r="E211" s="428"/>
      <c r="F211" s="428"/>
      <c r="G211" s="428"/>
      <c r="H211" s="429"/>
      <c r="I211" s="428"/>
      <c r="J211" s="429"/>
      <c r="K211" s="428"/>
      <c r="L211" s="429"/>
      <c r="M211" s="428"/>
      <c r="N211" s="428"/>
      <c r="O211" s="428"/>
      <c r="P211" s="428"/>
      <c r="Q211" s="428"/>
      <c r="R211" s="428"/>
      <c r="S211" s="428"/>
      <c r="T211" s="428"/>
    </row>
    <row r="212" spans="1:21" ht="10.8" customHeight="1">
      <c r="A212" s="1"/>
      <c r="B212" s="2"/>
      <c r="C212" s="428"/>
      <c r="D212" s="428"/>
      <c r="E212" s="428"/>
      <c r="F212" s="428"/>
      <c r="G212" s="428"/>
      <c r="H212" s="429"/>
      <c r="I212" s="428"/>
      <c r="J212" s="429"/>
      <c r="K212" s="428"/>
      <c r="L212" s="429"/>
      <c r="M212" s="428"/>
      <c r="N212" s="428"/>
      <c r="O212" s="428"/>
      <c r="P212" s="428"/>
      <c r="Q212" s="428"/>
      <c r="R212" s="428"/>
      <c r="S212" s="428"/>
      <c r="T212" s="428"/>
    </row>
    <row r="214" spans="1:21" ht="40.5" customHeight="1">
      <c r="A214" s="449" t="s">
        <v>240</v>
      </c>
      <c r="B214" s="449"/>
      <c r="C214" s="449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  <c r="R214" s="449"/>
      <c r="S214" s="449"/>
      <c r="T214" s="449"/>
      <c r="U214" s="449"/>
    </row>
    <row r="215" spans="1:21" ht="12.3" customHeight="1">
      <c r="A215" s="450" t="s">
        <v>69</v>
      </c>
      <c r="B215" s="451"/>
      <c r="C215" s="454" t="s">
        <v>14</v>
      </c>
      <c r="D215" s="455"/>
      <c r="E215" s="455"/>
      <c r="F215" s="455"/>
      <c r="G215" s="455"/>
      <c r="H215" s="455"/>
      <c r="I215" s="455"/>
      <c r="J215" s="455"/>
      <c r="K215" s="455"/>
      <c r="L215" s="455"/>
      <c r="M215" s="455"/>
      <c r="N215" s="455"/>
      <c r="O215" s="455"/>
      <c r="P215" s="455"/>
      <c r="Q215" s="455"/>
      <c r="R215" s="455"/>
      <c r="S215" s="455"/>
      <c r="T215" s="455"/>
    </row>
    <row r="216" spans="1:21" ht="9" customHeight="1">
      <c r="A216" s="452"/>
      <c r="B216" s="453"/>
      <c r="C216" s="33">
        <v>5</v>
      </c>
      <c r="D216" s="33">
        <v>6</v>
      </c>
      <c r="E216" s="33">
        <v>7</v>
      </c>
      <c r="F216" s="33">
        <v>8</v>
      </c>
      <c r="G216" s="33">
        <v>9</v>
      </c>
      <c r="H216" s="33">
        <v>10</v>
      </c>
      <c r="I216" s="33">
        <v>11</v>
      </c>
      <c r="J216" s="33">
        <v>12</v>
      </c>
      <c r="K216" s="33">
        <v>13</v>
      </c>
      <c r="L216" s="33">
        <v>14</v>
      </c>
      <c r="M216" s="156">
        <v>15</v>
      </c>
      <c r="N216" s="33">
        <v>16</v>
      </c>
      <c r="O216" s="33">
        <v>17</v>
      </c>
      <c r="P216" s="33">
        <v>18</v>
      </c>
      <c r="Q216" s="33">
        <v>19</v>
      </c>
      <c r="R216" s="33">
        <v>20</v>
      </c>
      <c r="S216" s="33">
        <v>21</v>
      </c>
      <c r="T216" s="34">
        <v>22</v>
      </c>
    </row>
    <row r="217" spans="1:21" ht="10.5" customHeight="1">
      <c r="A217" s="431">
        <v>22.4</v>
      </c>
      <c r="B217" s="184" t="s">
        <v>2</v>
      </c>
      <c r="C217" s="153" t="s">
        <v>1</v>
      </c>
      <c r="D217" s="85" t="s">
        <v>1</v>
      </c>
      <c r="E217" s="85" t="s">
        <v>1</v>
      </c>
      <c r="F217" s="85" t="s">
        <v>1</v>
      </c>
      <c r="G217" s="85" t="s">
        <v>1</v>
      </c>
      <c r="H217" s="85" t="s">
        <v>1</v>
      </c>
      <c r="I217" s="85" t="s">
        <v>1</v>
      </c>
      <c r="J217" s="85" t="s">
        <v>1</v>
      </c>
      <c r="K217" s="237">
        <v>203</v>
      </c>
      <c r="L217" s="85" t="s">
        <v>1</v>
      </c>
      <c r="M217" s="237">
        <v>219</v>
      </c>
      <c r="N217" s="85" t="s">
        <v>1</v>
      </c>
      <c r="O217" s="237">
        <v>289</v>
      </c>
      <c r="P217" s="85" t="s">
        <v>1</v>
      </c>
      <c r="Q217" s="237">
        <v>297</v>
      </c>
      <c r="R217" s="85" t="s">
        <v>1</v>
      </c>
      <c r="S217" s="85" t="s">
        <v>21</v>
      </c>
      <c r="T217" s="221" t="s">
        <v>1</v>
      </c>
    </row>
    <row r="218" spans="1:21" ht="9" customHeight="1">
      <c r="A218" s="432"/>
      <c r="B218" s="2" t="s">
        <v>3</v>
      </c>
      <c r="C218" s="154" t="s">
        <v>1</v>
      </c>
      <c r="D218" s="146" t="s">
        <v>1</v>
      </c>
      <c r="E218" s="146" t="s">
        <v>1</v>
      </c>
      <c r="F218" s="146" t="s">
        <v>1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58">
        <v>346</v>
      </c>
      <c r="L218" s="146" t="s">
        <v>1</v>
      </c>
      <c r="M218" s="258">
        <v>478</v>
      </c>
      <c r="N218" s="146" t="s">
        <v>1</v>
      </c>
      <c r="O218" s="258">
        <v>555</v>
      </c>
      <c r="P218" s="146" t="s">
        <v>1</v>
      </c>
      <c r="Q218" s="258">
        <v>696</v>
      </c>
      <c r="R218" s="146" t="s">
        <v>1</v>
      </c>
      <c r="S218" s="258">
        <v>714</v>
      </c>
      <c r="T218" s="223" t="s">
        <v>1</v>
      </c>
    </row>
    <row r="219" spans="1:21" ht="9.3000000000000007" customHeight="1">
      <c r="A219" s="432"/>
      <c r="B219" s="2" t="s">
        <v>5</v>
      </c>
      <c r="C219" s="154" t="s">
        <v>1</v>
      </c>
      <c r="D219" s="146" t="s">
        <v>1</v>
      </c>
      <c r="E219" s="146" t="s">
        <v>1</v>
      </c>
      <c r="F219" s="146" t="s">
        <v>1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58">
        <v>509</v>
      </c>
      <c r="L219" s="146" t="s">
        <v>1</v>
      </c>
      <c r="M219" s="258">
        <v>553</v>
      </c>
      <c r="N219" s="146" t="s">
        <v>1</v>
      </c>
      <c r="O219" s="258">
        <v>614</v>
      </c>
      <c r="P219" s="146" t="s">
        <v>1</v>
      </c>
      <c r="Q219" s="146" t="s">
        <v>21</v>
      </c>
      <c r="R219" s="146" t="s">
        <v>1</v>
      </c>
      <c r="S219" s="146" t="s">
        <v>21</v>
      </c>
      <c r="T219" s="223" t="s">
        <v>1</v>
      </c>
    </row>
    <row r="220" spans="1:21" ht="10.8" customHeight="1">
      <c r="A220" s="433"/>
      <c r="B220" s="185" t="s">
        <v>7</v>
      </c>
      <c r="C220" s="155" t="s">
        <v>1</v>
      </c>
      <c r="D220" s="149" t="s">
        <v>1</v>
      </c>
      <c r="E220" s="149" t="s">
        <v>1</v>
      </c>
      <c r="F220" s="149" t="s">
        <v>1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59">
        <v>636</v>
      </c>
      <c r="L220" s="149" t="s">
        <v>1</v>
      </c>
      <c r="M220" s="259">
        <v>782</v>
      </c>
      <c r="N220" s="149" t="s">
        <v>1</v>
      </c>
      <c r="O220" s="259">
        <v>851</v>
      </c>
      <c r="P220" s="149" t="s">
        <v>1</v>
      </c>
      <c r="Q220" s="149" t="s">
        <v>21</v>
      </c>
      <c r="R220" s="149" t="s">
        <v>1</v>
      </c>
      <c r="S220" s="149" t="s">
        <v>21</v>
      </c>
      <c r="T220" s="225" t="s">
        <v>1</v>
      </c>
    </row>
    <row r="221" spans="1:21" ht="10.5" customHeight="1">
      <c r="A221" s="83">
        <v>25</v>
      </c>
      <c r="B221" s="184" t="s">
        <v>2</v>
      </c>
      <c r="C221" s="318">
        <v>59.4</v>
      </c>
      <c r="D221" s="85" t="s">
        <v>1</v>
      </c>
      <c r="E221" s="262">
        <v>88.1</v>
      </c>
      <c r="F221" s="85" t="s">
        <v>1</v>
      </c>
      <c r="G221" s="237">
        <v>119</v>
      </c>
      <c r="H221" s="85" t="s">
        <v>1</v>
      </c>
      <c r="I221" s="237">
        <v>168</v>
      </c>
      <c r="J221" s="85" t="s">
        <v>1</v>
      </c>
      <c r="K221" s="237">
        <v>211</v>
      </c>
      <c r="L221" s="85" t="s">
        <v>1</v>
      </c>
      <c r="M221" s="237">
        <v>238</v>
      </c>
      <c r="N221" s="237">
        <v>233</v>
      </c>
      <c r="O221" s="237">
        <v>305</v>
      </c>
      <c r="P221" s="237">
        <v>307</v>
      </c>
      <c r="Q221" s="237">
        <v>337</v>
      </c>
      <c r="R221" s="237">
        <v>321</v>
      </c>
      <c r="S221" s="85" t="s">
        <v>21</v>
      </c>
      <c r="T221" s="221" t="s">
        <v>21</v>
      </c>
    </row>
    <row r="222" spans="1:21" ht="9" customHeight="1">
      <c r="A222" s="432"/>
      <c r="B222" s="2" t="s">
        <v>3</v>
      </c>
      <c r="C222" s="319">
        <v>98.9</v>
      </c>
      <c r="D222" s="146" t="s">
        <v>1</v>
      </c>
      <c r="E222" s="258">
        <v>154</v>
      </c>
      <c r="F222" s="146" t="s">
        <v>1</v>
      </c>
      <c r="G222" s="258">
        <v>207</v>
      </c>
      <c r="H222" s="146" t="s">
        <v>1</v>
      </c>
      <c r="I222" s="258">
        <v>308</v>
      </c>
      <c r="J222" s="146" t="s">
        <v>1</v>
      </c>
      <c r="K222" s="258">
        <v>348</v>
      </c>
      <c r="L222" s="146" t="s">
        <v>1</v>
      </c>
      <c r="M222" s="258">
        <v>484</v>
      </c>
      <c r="N222" s="258">
        <v>493</v>
      </c>
      <c r="O222" s="258">
        <v>559</v>
      </c>
      <c r="P222" s="258">
        <v>574</v>
      </c>
      <c r="Q222" s="258">
        <v>712</v>
      </c>
      <c r="R222" s="258">
        <v>719</v>
      </c>
      <c r="S222" s="258">
        <v>786</v>
      </c>
      <c r="T222" s="223" t="s">
        <v>21</v>
      </c>
    </row>
    <row r="223" spans="1:21" ht="9.3000000000000007" customHeight="1">
      <c r="A223" s="432"/>
      <c r="B223" s="2" t="s">
        <v>5</v>
      </c>
      <c r="C223" s="304">
        <v>142</v>
      </c>
      <c r="D223" s="146" t="s">
        <v>1</v>
      </c>
      <c r="E223" s="258">
        <v>216</v>
      </c>
      <c r="F223" s="146" t="s">
        <v>1</v>
      </c>
      <c r="G223" s="258">
        <v>251</v>
      </c>
      <c r="H223" s="146" t="s">
        <v>1</v>
      </c>
      <c r="I223" s="258">
        <v>445</v>
      </c>
      <c r="J223" s="146" t="s">
        <v>1</v>
      </c>
      <c r="K223" s="258">
        <v>504</v>
      </c>
      <c r="L223" s="146" t="s">
        <v>1</v>
      </c>
      <c r="M223" s="258">
        <v>557</v>
      </c>
      <c r="N223" s="258">
        <v>565</v>
      </c>
      <c r="O223" s="258">
        <v>614</v>
      </c>
      <c r="P223" s="258">
        <v>627</v>
      </c>
      <c r="Q223" s="146" t="s">
        <v>21</v>
      </c>
      <c r="R223" s="146" t="s">
        <v>21</v>
      </c>
      <c r="S223" s="146" t="s">
        <v>21</v>
      </c>
      <c r="T223" s="223" t="s">
        <v>21</v>
      </c>
    </row>
    <row r="224" spans="1:21" ht="10.8" customHeight="1">
      <c r="A224" s="433"/>
      <c r="B224" s="185" t="s">
        <v>7</v>
      </c>
      <c r="C224" s="307">
        <v>177</v>
      </c>
      <c r="D224" s="149" t="s">
        <v>1</v>
      </c>
      <c r="E224" s="259">
        <v>273</v>
      </c>
      <c r="F224" s="149" t="s">
        <v>1</v>
      </c>
      <c r="G224" s="259">
        <v>330</v>
      </c>
      <c r="H224" s="149" t="s">
        <v>1</v>
      </c>
      <c r="I224" s="259">
        <v>569</v>
      </c>
      <c r="J224" s="149" t="s">
        <v>1</v>
      </c>
      <c r="K224" s="259">
        <v>626</v>
      </c>
      <c r="L224" s="149" t="s">
        <v>1</v>
      </c>
      <c r="M224" s="259">
        <v>779</v>
      </c>
      <c r="N224" s="259">
        <v>798</v>
      </c>
      <c r="O224" s="259">
        <v>842</v>
      </c>
      <c r="P224" s="259">
        <v>867</v>
      </c>
      <c r="Q224" s="149" t="s">
        <v>21</v>
      </c>
      <c r="R224" s="149" t="s">
        <v>21</v>
      </c>
      <c r="S224" s="149" t="s">
        <v>21</v>
      </c>
      <c r="T224" s="225" t="s">
        <v>21</v>
      </c>
    </row>
    <row r="225" spans="1:20" ht="10.5" customHeight="1">
      <c r="A225" s="83">
        <v>28</v>
      </c>
      <c r="B225" s="184" t="s">
        <v>2</v>
      </c>
      <c r="C225" s="318">
        <v>57.4</v>
      </c>
      <c r="D225" s="85" t="s">
        <v>1</v>
      </c>
      <c r="E225" s="262">
        <v>89.1</v>
      </c>
      <c r="F225" s="85" t="s">
        <v>1</v>
      </c>
      <c r="G225" s="237">
        <v>119</v>
      </c>
      <c r="H225" s="85" t="s">
        <v>1</v>
      </c>
      <c r="I225" s="237">
        <v>163</v>
      </c>
      <c r="J225" s="85" t="s">
        <v>1</v>
      </c>
      <c r="K225" s="237">
        <v>210</v>
      </c>
      <c r="L225" s="237">
        <v>225</v>
      </c>
      <c r="M225" s="237">
        <v>243</v>
      </c>
      <c r="N225" s="237">
        <v>252</v>
      </c>
      <c r="O225" s="237">
        <v>307</v>
      </c>
      <c r="P225" s="237">
        <v>322</v>
      </c>
      <c r="Q225" s="237">
        <v>355</v>
      </c>
      <c r="R225" s="237">
        <v>359</v>
      </c>
      <c r="S225" s="85" t="s">
        <v>21</v>
      </c>
      <c r="T225" s="221" t="s">
        <v>21</v>
      </c>
    </row>
    <row r="226" spans="1:20" ht="9" customHeight="1">
      <c r="A226" s="432"/>
      <c r="B226" s="2" t="s">
        <v>3</v>
      </c>
      <c r="C226" s="319">
        <v>95.1</v>
      </c>
      <c r="D226" s="146" t="s">
        <v>1</v>
      </c>
      <c r="E226" s="258">
        <v>154</v>
      </c>
      <c r="F226" s="146" t="s">
        <v>1</v>
      </c>
      <c r="G226" s="258">
        <v>204</v>
      </c>
      <c r="H226" s="146" t="s">
        <v>1</v>
      </c>
      <c r="I226" s="258">
        <v>295</v>
      </c>
      <c r="J226" s="146" t="s">
        <v>1</v>
      </c>
      <c r="K226" s="258">
        <v>339</v>
      </c>
      <c r="L226" s="258">
        <v>372</v>
      </c>
      <c r="M226" s="258">
        <v>478</v>
      </c>
      <c r="N226" s="258">
        <v>500</v>
      </c>
      <c r="O226" s="258">
        <v>548</v>
      </c>
      <c r="P226" s="258">
        <v>577</v>
      </c>
      <c r="Q226" s="258">
        <v>714</v>
      </c>
      <c r="R226" s="258">
        <v>734</v>
      </c>
      <c r="S226" s="258">
        <v>817</v>
      </c>
      <c r="T226" s="310">
        <v>806</v>
      </c>
    </row>
    <row r="227" spans="1:20" ht="9.3000000000000007" customHeight="1">
      <c r="A227" s="432"/>
      <c r="B227" s="2" t="s">
        <v>5</v>
      </c>
      <c r="C227" s="304">
        <v>134</v>
      </c>
      <c r="D227" s="146" t="s">
        <v>1</v>
      </c>
      <c r="E227" s="258">
        <v>217</v>
      </c>
      <c r="F227" s="146" t="s">
        <v>1</v>
      </c>
      <c r="G227" s="258">
        <v>247</v>
      </c>
      <c r="H227" s="146" t="s">
        <v>1</v>
      </c>
      <c r="I227" s="258">
        <v>425</v>
      </c>
      <c r="J227" s="146" t="s">
        <v>1</v>
      </c>
      <c r="K227" s="258">
        <v>486</v>
      </c>
      <c r="L227" s="258">
        <v>533</v>
      </c>
      <c r="M227" s="258">
        <v>548</v>
      </c>
      <c r="N227" s="258">
        <v>569</v>
      </c>
      <c r="O227" s="258">
        <v>601</v>
      </c>
      <c r="P227" s="258">
        <v>626</v>
      </c>
      <c r="Q227" s="146" t="s">
        <v>21</v>
      </c>
      <c r="R227" s="146" t="s">
        <v>21</v>
      </c>
      <c r="S227" s="146" t="s">
        <v>21</v>
      </c>
      <c r="T227" s="223" t="s">
        <v>21</v>
      </c>
    </row>
    <row r="228" spans="1:20" ht="10.8" customHeight="1">
      <c r="A228" s="433"/>
      <c r="B228" s="185" t="s">
        <v>7</v>
      </c>
      <c r="C228" s="307">
        <v>167</v>
      </c>
      <c r="D228" s="149" t="s">
        <v>1</v>
      </c>
      <c r="E228" s="259">
        <v>274</v>
      </c>
      <c r="F228" s="149" t="s">
        <v>1</v>
      </c>
      <c r="G228" s="259">
        <v>325</v>
      </c>
      <c r="H228" s="149" t="s">
        <v>1</v>
      </c>
      <c r="I228" s="259">
        <v>541</v>
      </c>
      <c r="J228" s="149" t="s">
        <v>1</v>
      </c>
      <c r="K228" s="259">
        <v>601</v>
      </c>
      <c r="L228" s="259">
        <v>665</v>
      </c>
      <c r="M228" s="259">
        <v>760</v>
      </c>
      <c r="N228" s="259">
        <v>793</v>
      </c>
      <c r="O228" s="259">
        <v>820</v>
      </c>
      <c r="P228" s="259">
        <v>857</v>
      </c>
      <c r="Q228" s="149" t="s">
        <v>21</v>
      </c>
      <c r="R228" s="149" t="s">
        <v>21</v>
      </c>
      <c r="S228" s="149" t="s">
        <v>21</v>
      </c>
      <c r="T228" s="225" t="s">
        <v>21</v>
      </c>
    </row>
    <row r="229" spans="1:20" ht="10.5" customHeight="1">
      <c r="A229" s="431">
        <v>31.5</v>
      </c>
      <c r="B229" s="184" t="s">
        <v>2</v>
      </c>
      <c r="C229" s="318">
        <v>56</v>
      </c>
      <c r="D229" s="262">
        <v>64.5</v>
      </c>
      <c r="E229" s="262">
        <v>86.4</v>
      </c>
      <c r="F229" s="262">
        <v>95.4</v>
      </c>
      <c r="G229" s="237">
        <v>116</v>
      </c>
      <c r="H229" s="237">
        <v>121</v>
      </c>
      <c r="I229" s="237">
        <v>160</v>
      </c>
      <c r="J229" s="237">
        <v>190</v>
      </c>
      <c r="K229" s="237">
        <v>208</v>
      </c>
      <c r="L229" s="237">
        <v>231</v>
      </c>
      <c r="M229" s="237">
        <v>250</v>
      </c>
      <c r="N229" s="237">
        <v>256</v>
      </c>
      <c r="O229" s="237">
        <v>310</v>
      </c>
      <c r="P229" s="237">
        <v>323</v>
      </c>
      <c r="Q229" s="237">
        <v>366</v>
      </c>
      <c r="R229" s="237">
        <v>375</v>
      </c>
      <c r="S229" s="237">
        <v>373</v>
      </c>
      <c r="T229" s="316">
        <v>355</v>
      </c>
    </row>
    <row r="230" spans="1:20" ht="9" customHeight="1">
      <c r="A230" s="432"/>
      <c r="B230" s="2" t="s">
        <v>3</v>
      </c>
      <c r="C230" s="319">
        <v>92.4</v>
      </c>
      <c r="D230" s="258">
        <v>105</v>
      </c>
      <c r="E230" s="258">
        <v>148</v>
      </c>
      <c r="F230" s="258">
        <v>162</v>
      </c>
      <c r="G230" s="258">
        <v>198</v>
      </c>
      <c r="H230" s="258">
        <v>206</v>
      </c>
      <c r="I230" s="258">
        <v>286</v>
      </c>
      <c r="J230" s="258">
        <v>338</v>
      </c>
      <c r="K230" s="258">
        <v>332</v>
      </c>
      <c r="L230" s="258">
        <v>372</v>
      </c>
      <c r="M230" s="258">
        <v>474</v>
      </c>
      <c r="N230" s="258">
        <v>492</v>
      </c>
      <c r="O230" s="258">
        <v>541</v>
      </c>
      <c r="P230" s="258">
        <v>565</v>
      </c>
      <c r="Q230" s="258">
        <v>707</v>
      </c>
      <c r="R230" s="258">
        <v>733</v>
      </c>
      <c r="S230" s="258">
        <v>836</v>
      </c>
      <c r="T230" s="310">
        <v>835</v>
      </c>
    </row>
    <row r="231" spans="1:20" ht="9.3000000000000007" customHeight="1">
      <c r="A231" s="432"/>
      <c r="B231" s="2" t="s">
        <v>5</v>
      </c>
      <c r="C231" s="304">
        <v>128</v>
      </c>
      <c r="D231" s="258">
        <v>145</v>
      </c>
      <c r="E231" s="258">
        <v>208</v>
      </c>
      <c r="F231" s="258">
        <v>221</v>
      </c>
      <c r="G231" s="258">
        <v>241</v>
      </c>
      <c r="H231" s="258">
        <v>246</v>
      </c>
      <c r="I231" s="258">
        <v>412</v>
      </c>
      <c r="J231" s="258">
        <v>474</v>
      </c>
      <c r="K231" s="258">
        <v>475</v>
      </c>
      <c r="L231" s="258">
        <v>527</v>
      </c>
      <c r="M231" s="258">
        <v>543</v>
      </c>
      <c r="N231" s="258">
        <v>558</v>
      </c>
      <c r="O231" s="258">
        <v>593</v>
      </c>
      <c r="P231" s="258">
        <v>613</v>
      </c>
      <c r="Q231" s="146" t="s">
        <v>21</v>
      </c>
      <c r="R231" s="146" t="s">
        <v>21</v>
      </c>
      <c r="S231" s="146" t="s">
        <v>21</v>
      </c>
      <c r="T231" s="223" t="s">
        <v>21</v>
      </c>
    </row>
    <row r="232" spans="1:20" ht="10.8" customHeight="1">
      <c r="A232" s="433"/>
      <c r="B232" s="185" t="s">
        <v>7</v>
      </c>
      <c r="C232" s="307">
        <v>160</v>
      </c>
      <c r="D232" s="259">
        <v>181</v>
      </c>
      <c r="E232" s="259">
        <v>262</v>
      </c>
      <c r="F232" s="259">
        <v>280</v>
      </c>
      <c r="G232" s="259">
        <v>316</v>
      </c>
      <c r="H232" s="259">
        <v>323</v>
      </c>
      <c r="I232" s="259">
        <v>524</v>
      </c>
      <c r="J232" s="259">
        <v>605</v>
      </c>
      <c r="K232" s="259">
        <v>586</v>
      </c>
      <c r="L232" s="259">
        <v>654</v>
      </c>
      <c r="M232" s="259">
        <v>747</v>
      </c>
      <c r="N232" s="259">
        <v>774</v>
      </c>
      <c r="O232" s="259">
        <v>803</v>
      </c>
      <c r="P232" s="259">
        <v>834</v>
      </c>
      <c r="Q232" s="149" t="s">
        <v>21</v>
      </c>
      <c r="R232" s="149" t="s">
        <v>21</v>
      </c>
      <c r="S232" s="149" t="s">
        <v>21</v>
      </c>
      <c r="T232" s="225" t="s">
        <v>21</v>
      </c>
    </row>
    <row r="233" spans="1:20" ht="10.5" customHeight="1">
      <c r="A233" s="431">
        <v>35.5</v>
      </c>
      <c r="B233" s="184" t="s">
        <v>2</v>
      </c>
      <c r="C233" s="318">
        <v>54.4</v>
      </c>
      <c r="D233" s="262">
        <v>62.3</v>
      </c>
      <c r="E233" s="262">
        <v>84.1</v>
      </c>
      <c r="F233" s="262">
        <v>96.4</v>
      </c>
      <c r="G233" s="237">
        <v>113</v>
      </c>
      <c r="H233" s="237">
        <v>120</v>
      </c>
      <c r="I233" s="237">
        <v>156</v>
      </c>
      <c r="J233" s="237">
        <v>185</v>
      </c>
      <c r="K233" s="237">
        <v>205</v>
      </c>
      <c r="L233" s="237">
        <v>229</v>
      </c>
      <c r="M233" s="237">
        <v>254</v>
      </c>
      <c r="N233" s="237">
        <v>262</v>
      </c>
      <c r="O233" s="237">
        <v>309</v>
      </c>
      <c r="P233" s="237">
        <v>325</v>
      </c>
      <c r="Q233" s="237">
        <v>372</v>
      </c>
      <c r="R233" s="237">
        <v>385</v>
      </c>
      <c r="S233" s="237">
        <v>403</v>
      </c>
      <c r="T233" s="316">
        <v>393</v>
      </c>
    </row>
    <row r="234" spans="1:20" ht="9" customHeight="1">
      <c r="A234" s="432"/>
      <c r="B234" s="2" t="s">
        <v>3</v>
      </c>
      <c r="C234" s="319">
        <v>89.5</v>
      </c>
      <c r="D234" s="258">
        <v>101</v>
      </c>
      <c r="E234" s="258">
        <v>143</v>
      </c>
      <c r="F234" s="258">
        <v>163</v>
      </c>
      <c r="G234" s="258">
        <v>192</v>
      </c>
      <c r="H234" s="258">
        <v>203</v>
      </c>
      <c r="I234" s="258">
        <v>277</v>
      </c>
      <c r="J234" s="258">
        <v>324</v>
      </c>
      <c r="K234" s="258">
        <v>324</v>
      </c>
      <c r="L234" s="258">
        <v>362</v>
      </c>
      <c r="M234" s="258">
        <v>463</v>
      </c>
      <c r="N234" s="258">
        <v>488</v>
      </c>
      <c r="O234" s="258">
        <v>524</v>
      </c>
      <c r="P234" s="258">
        <v>557</v>
      </c>
      <c r="Q234" s="258">
        <v>694</v>
      </c>
      <c r="R234" s="258">
        <v>725</v>
      </c>
      <c r="S234" s="258">
        <v>843</v>
      </c>
      <c r="T234" s="310">
        <v>852</v>
      </c>
    </row>
    <row r="235" spans="1:20" ht="9.3000000000000007" customHeight="1">
      <c r="A235" s="432"/>
      <c r="B235" s="2" t="s">
        <v>5</v>
      </c>
      <c r="C235" s="304">
        <v>122</v>
      </c>
      <c r="D235" s="258">
        <v>137</v>
      </c>
      <c r="E235" s="258">
        <v>202</v>
      </c>
      <c r="F235" s="258">
        <v>222</v>
      </c>
      <c r="G235" s="258">
        <v>233</v>
      </c>
      <c r="H235" s="258">
        <v>243</v>
      </c>
      <c r="I235" s="258">
        <v>399</v>
      </c>
      <c r="J235" s="258">
        <v>452</v>
      </c>
      <c r="K235" s="258">
        <v>462</v>
      </c>
      <c r="L235" s="258">
        <v>508</v>
      </c>
      <c r="M235" s="258">
        <v>529</v>
      </c>
      <c r="N235" s="258">
        <v>553</v>
      </c>
      <c r="O235" s="258">
        <v>574</v>
      </c>
      <c r="P235" s="258">
        <v>604</v>
      </c>
      <c r="Q235" s="146" t="s">
        <v>21</v>
      </c>
      <c r="R235" s="146" t="s">
        <v>21</v>
      </c>
      <c r="S235" s="146" t="s">
        <v>21</v>
      </c>
      <c r="T235" s="223" t="s">
        <v>21</v>
      </c>
    </row>
    <row r="236" spans="1:20" ht="10.8" customHeight="1">
      <c r="A236" s="433"/>
      <c r="B236" s="185" t="s">
        <v>7</v>
      </c>
      <c r="C236" s="307">
        <v>154</v>
      </c>
      <c r="D236" s="259">
        <v>171</v>
      </c>
      <c r="E236" s="259">
        <v>254</v>
      </c>
      <c r="F236" s="259">
        <v>280</v>
      </c>
      <c r="G236" s="259">
        <v>306</v>
      </c>
      <c r="H236" s="259">
        <v>318</v>
      </c>
      <c r="I236" s="259">
        <v>505</v>
      </c>
      <c r="J236" s="259">
        <v>575</v>
      </c>
      <c r="K236" s="259">
        <v>568</v>
      </c>
      <c r="L236" s="259">
        <v>627</v>
      </c>
      <c r="M236" s="259">
        <v>720</v>
      </c>
      <c r="N236" s="259">
        <v>760</v>
      </c>
      <c r="O236" s="259">
        <v>771</v>
      </c>
      <c r="P236" s="259">
        <v>816</v>
      </c>
      <c r="Q236" s="149" t="s">
        <v>21</v>
      </c>
      <c r="R236" s="149" t="s">
        <v>21</v>
      </c>
      <c r="S236" s="149" t="s">
        <v>21</v>
      </c>
      <c r="T236" s="225" t="s">
        <v>21</v>
      </c>
    </row>
    <row r="237" spans="1:20" ht="10.5" customHeight="1">
      <c r="A237" s="83">
        <v>40</v>
      </c>
      <c r="B237" s="184" t="s">
        <v>2</v>
      </c>
      <c r="C237" s="318">
        <v>51.6</v>
      </c>
      <c r="D237" s="262">
        <v>60.7</v>
      </c>
      <c r="E237" s="262">
        <v>80.2</v>
      </c>
      <c r="F237" s="262">
        <v>93.2</v>
      </c>
      <c r="G237" s="237">
        <v>107</v>
      </c>
      <c r="H237" s="237">
        <v>117</v>
      </c>
      <c r="I237" s="237">
        <v>152</v>
      </c>
      <c r="J237" s="237">
        <v>181</v>
      </c>
      <c r="K237" s="237">
        <v>201</v>
      </c>
      <c r="L237" s="237">
        <v>227</v>
      </c>
      <c r="M237" s="237">
        <v>252</v>
      </c>
      <c r="N237" s="237">
        <v>264</v>
      </c>
      <c r="O237" s="237">
        <v>304</v>
      </c>
      <c r="P237" s="237">
        <v>322</v>
      </c>
      <c r="Q237" s="237">
        <v>378</v>
      </c>
      <c r="R237" s="237">
        <v>390</v>
      </c>
      <c r="S237" s="237">
        <v>423</v>
      </c>
      <c r="T237" s="316">
        <v>421</v>
      </c>
    </row>
    <row r="238" spans="1:20" ht="9" customHeight="1">
      <c r="A238" s="1"/>
      <c r="B238" s="2" t="s">
        <v>3</v>
      </c>
      <c r="C238" s="319">
        <v>84.4</v>
      </c>
      <c r="D238" s="320">
        <v>98.2</v>
      </c>
      <c r="E238" s="258">
        <v>136</v>
      </c>
      <c r="F238" s="258">
        <v>156</v>
      </c>
      <c r="G238" s="258">
        <v>182</v>
      </c>
      <c r="H238" s="258">
        <v>197</v>
      </c>
      <c r="I238" s="258">
        <v>267</v>
      </c>
      <c r="J238" s="258">
        <v>314</v>
      </c>
      <c r="K238" s="258">
        <v>313</v>
      </c>
      <c r="L238" s="258">
        <v>355</v>
      </c>
      <c r="M238" s="258">
        <v>451</v>
      </c>
      <c r="N238" s="258">
        <v>476</v>
      </c>
      <c r="O238" s="258">
        <v>508</v>
      </c>
      <c r="P238" s="258">
        <v>538</v>
      </c>
      <c r="Q238" s="258">
        <v>681</v>
      </c>
      <c r="R238" s="258">
        <v>711</v>
      </c>
      <c r="S238" s="258">
        <v>841</v>
      </c>
      <c r="T238" s="310">
        <v>858</v>
      </c>
    </row>
    <row r="239" spans="1:20" ht="9.3000000000000007" customHeight="1">
      <c r="A239" s="1"/>
      <c r="B239" s="2" t="s">
        <v>5</v>
      </c>
      <c r="C239" s="304">
        <v>113</v>
      </c>
      <c r="D239" s="258">
        <v>131</v>
      </c>
      <c r="E239" s="258">
        <v>192</v>
      </c>
      <c r="F239" s="258">
        <v>213</v>
      </c>
      <c r="G239" s="258">
        <v>222</v>
      </c>
      <c r="H239" s="258">
        <v>236</v>
      </c>
      <c r="I239" s="258">
        <v>385</v>
      </c>
      <c r="J239" s="258">
        <v>438</v>
      </c>
      <c r="K239" s="258">
        <v>447</v>
      </c>
      <c r="L239" s="258">
        <v>496</v>
      </c>
      <c r="M239" s="258">
        <v>516</v>
      </c>
      <c r="N239" s="258">
        <v>539</v>
      </c>
      <c r="O239" s="258">
        <v>558</v>
      </c>
      <c r="P239" s="258">
        <v>585</v>
      </c>
      <c r="Q239" s="146" t="s">
        <v>21</v>
      </c>
      <c r="R239" s="146" t="s">
        <v>21</v>
      </c>
      <c r="S239" s="146" t="s">
        <v>21</v>
      </c>
      <c r="T239" s="223" t="s">
        <v>21</v>
      </c>
    </row>
    <row r="240" spans="1:20" ht="10.8" customHeight="1">
      <c r="A240" s="45"/>
      <c r="B240" s="185" t="s">
        <v>7</v>
      </c>
      <c r="C240" s="307">
        <v>143</v>
      </c>
      <c r="D240" s="259">
        <v>165</v>
      </c>
      <c r="E240" s="259">
        <v>241</v>
      </c>
      <c r="F240" s="259">
        <v>269</v>
      </c>
      <c r="G240" s="259">
        <v>289</v>
      </c>
      <c r="H240" s="259">
        <v>309</v>
      </c>
      <c r="I240" s="259">
        <v>486</v>
      </c>
      <c r="J240" s="259">
        <v>556</v>
      </c>
      <c r="K240" s="259">
        <v>549</v>
      </c>
      <c r="L240" s="259">
        <v>611</v>
      </c>
      <c r="M240" s="259">
        <v>698</v>
      </c>
      <c r="N240" s="259">
        <v>732</v>
      </c>
      <c r="O240" s="259">
        <v>745</v>
      </c>
      <c r="P240" s="259">
        <v>783</v>
      </c>
      <c r="Q240" s="149" t="s">
        <v>21</v>
      </c>
      <c r="R240" s="149" t="s">
        <v>21</v>
      </c>
      <c r="S240" s="149" t="s">
        <v>21</v>
      </c>
      <c r="T240" s="225" t="s">
        <v>21</v>
      </c>
    </row>
    <row r="241" spans="1:20" ht="10.5" customHeight="1">
      <c r="A241" s="83">
        <v>45</v>
      </c>
      <c r="B241" s="184" t="s">
        <v>2</v>
      </c>
      <c r="C241" s="318">
        <v>49.7</v>
      </c>
      <c r="D241" s="262">
        <v>58.9</v>
      </c>
      <c r="E241" s="262">
        <v>77.400000000000006</v>
      </c>
      <c r="F241" s="262">
        <v>90.7</v>
      </c>
      <c r="G241" s="237">
        <v>103</v>
      </c>
      <c r="H241" s="237">
        <v>114</v>
      </c>
      <c r="I241" s="237">
        <v>151</v>
      </c>
      <c r="J241" s="237">
        <v>176</v>
      </c>
      <c r="K241" s="237">
        <v>195</v>
      </c>
      <c r="L241" s="237">
        <v>223</v>
      </c>
      <c r="M241" s="237">
        <v>253</v>
      </c>
      <c r="N241" s="237">
        <v>262</v>
      </c>
      <c r="O241" s="237">
        <v>303</v>
      </c>
      <c r="P241" s="237">
        <v>316</v>
      </c>
      <c r="Q241" s="237">
        <v>384</v>
      </c>
      <c r="R241" s="237">
        <v>394</v>
      </c>
      <c r="S241" s="237">
        <v>435</v>
      </c>
      <c r="T241" s="316">
        <v>439</v>
      </c>
    </row>
    <row r="242" spans="1:20" ht="9" customHeight="1">
      <c r="A242" s="1"/>
      <c r="B242" s="2" t="s">
        <v>3</v>
      </c>
      <c r="C242" s="319">
        <v>80.900000000000006</v>
      </c>
      <c r="D242" s="320">
        <v>95</v>
      </c>
      <c r="E242" s="258">
        <v>131</v>
      </c>
      <c r="F242" s="258">
        <v>151</v>
      </c>
      <c r="G242" s="258">
        <v>174</v>
      </c>
      <c r="H242" s="258">
        <v>191</v>
      </c>
      <c r="I242" s="258">
        <v>264</v>
      </c>
      <c r="J242" s="258">
        <v>303</v>
      </c>
      <c r="K242" s="258">
        <v>302</v>
      </c>
      <c r="L242" s="258">
        <v>345</v>
      </c>
      <c r="M242" s="258">
        <v>448</v>
      </c>
      <c r="N242" s="258">
        <v>463</v>
      </c>
      <c r="O242" s="258">
        <v>503</v>
      </c>
      <c r="P242" s="258">
        <v>522</v>
      </c>
      <c r="Q242" s="258">
        <v>678</v>
      </c>
      <c r="R242" s="258">
        <v>697</v>
      </c>
      <c r="S242" s="258">
        <v>827</v>
      </c>
      <c r="T242" s="310">
        <v>853</v>
      </c>
    </row>
    <row r="243" spans="1:20" ht="9.3000000000000007" customHeight="1">
      <c r="A243" s="1"/>
      <c r="B243" s="2" t="s">
        <v>5</v>
      </c>
      <c r="C243" s="304">
        <v>107</v>
      </c>
      <c r="D243" s="258">
        <v>125</v>
      </c>
      <c r="E243" s="258">
        <v>182</v>
      </c>
      <c r="F243" s="258">
        <v>206</v>
      </c>
      <c r="G243" s="258">
        <v>213</v>
      </c>
      <c r="H243" s="258">
        <v>229</v>
      </c>
      <c r="I243" s="258">
        <v>381</v>
      </c>
      <c r="J243" s="258">
        <v>424</v>
      </c>
      <c r="K243" s="258">
        <v>431</v>
      </c>
      <c r="L243" s="258">
        <v>482</v>
      </c>
      <c r="M243" s="258">
        <v>513</v>
      </c>
      <c r="N243" s="258">
        <v>525</v>
      </c>
      <c r="O243" s="258">
        <v>554</v>
      </c>
      <c r="P243" s="258">
        <v>568</v>
      </c>
      <c r="Q243" s="146" t="s">
        <v>21</v>
      </c>
      <c r="R243" s="146" t="s">
        <v>21</v>
      </c>
      <c r="S243" s="146" t="s">
        <v>21</v>
      </c>
      <c r="T243" s="223" t="s">
        <v>21</v>
      </c>
    </row>
    <row r="244" spans="1:20" ht="10.8" customHeight="1">
      <c r="A244" s="45"/>
      <c r="B244" s="185" t="s">
        <v>7</v>
      </c>
      <c r="C244" s="307">
        <v>135</v>
      </c>
      <c r="D244" s="259">
        <v>158</v>
      </c>
      <c r="E244" s="259">
        <v>230</v>
      </c>
      <c r="F244" s="259">
        <v>260</v>
      </c>
      <c r="G244" s="259">
        <v>278</v>
      </c>
      <c r="H244" s="259">
        <v>299</v>
      </c>
      <c r="I244" s="259">
        <v>481</v>
      </c>
      <c r="J244" s="259">
        <v>537</v>
      </c>
      <c r="K244" s="259">
        <v>527</v>
      </c>
      <c r="L244" s="259">
        <v>592</v>
      </c>
      <c r="M244" s="259">
        <v>692</v>
      </c>
      <c r="N244" s="259">
        <v>710</v>
      </c>
      <c r="O244" s="259">
        <v>737</v>
      </c>
      <c r="P244" s="259">
        <v>756</v>
      </c>
      <c r="Q244" s="149" t="s">
        <v>21</v>
      </c>
      <c r="R244" s="149" t="s">
        <v>21</v>
      </c>
      <c r="S244" s="149" t="s">
        <v>21</v>
      </c>
      <c r="T244" s="225" t="s">
        <v>21</v>
      </c>
    </row>
    <row r="245" spans="1:20" ht="10.5" customHeight="1">
      <c r="A245" s="83">
        <v>50</v>
      </c>
      <c r="B245" s="184" t="s">
        <v>2</v>
      </c>
      <c r="C245" s="318">
        <v>48.5</v>
      </c>
      <c r="D245" s="262">
        <v>55.9</v>
      </c>
      <c r="E245" s="262">
        <v>74.3</v>
      </c>
      <c r="F245" s="262">
        <v>86.6</v>
      </c>
      <c r="G245" s="237">
        <v>104</v>
      </c>
      <c r="H245" s="237">
        <v>109</v>
      </c>
      <c r="I245" s="237">
        <v>152</v>
      </c>
      <c r="J245" s="237">
        <v>171</v>
      </c>
      <c r="K245" s="237">
        <v>199</v>
      </c>
      <c r="L245" s="237">
        <v>217</v>
      </c>
      <c r="M245" s="237">
        <v>270</v>
      </c>
      <c r="N245" s="237">
        <v>263</v>
      </c>
      <c r="O245" s="237">
        <v>312</v>
      </c>
      <c r="P245" s="237">
        <v>316</v>
      </c>
      <c r="Q245" s="237">
        <v>409</v>
      </c>
      <c r="R245" s="237">
        <v>399</v>
      </c>
      <c r="S245" s="237">
        <v>473</v>
      </c>
      <c r="T245" s="316">
        <v>450</v>
      </c>
    </row>
    <row r="246" spans="1:20" ht="9" customHeight="1">
      <c r="A246" s="1"/>
      <c r="B246" s="2" t="s">
        <v>3</v>
      </c>
      <c r="C246" s="319">
        <v>78.099999999999994</v>
      </c>
      <c r="D246" s="320">
        <v>89.6</v>
      </c>
      <c r="E246" s="258">
        <v>124</v>
      </c>
      <c r="F246" s="258">
        <v>143</v>
      </c>
      <c r="G246" s="258">
        <v>172</v>
      </c>
      <c r="H246" s="258">
        <v>181</v>
      </c>
      <c r="I246" s="258">
        <v>260</v>
      </c>
      <c r="J246" s="258">
        <v>291</v>
      </c>
      <c r="K246" s="258">
        <v>301</v>
      </c>
      <c r="L246" s="258">
        <v>334</v>
      </c>
      <c r="M246" s="258">
        <v>455</v>
      </c>
      <c r="N246" s="258">
        <v>460</v>
      </c>
      <c r="O246" s="258">
        <v>502</v>
      </c>
      <c r="P246" s="258">
        <v>516</v>
      </c>
      <c r="Q246" s="258">
        <v>682</v>
      </c>
      <c r="R246" s="258">
        <v>693</v>
      </c>
      <c r="S246" s="258">
        <v>844</v>
      </c>
      <c r="T246" s="310">
        <v>839</v>
      </c>
    </row>
    <row r="247" spans="1:20" ht="9.3000000000000007" customHeight="1">
      <c r="A247" s="1"/>
      <c r="B247" s="2" t="s">
        <v>5</v>
      </c>
      <c r="C247" s="304">
        <v>104</v>
      </c>
      <c r="D247" s="258">
        <v>116</v>
      </c>
      <c r="E247" s="258">
        <v>172</v>
      </c>
      <c r="F247" s="258">
        <v>195</v>
      </c>
      <c r="G247" s="258">
        <v>210</v>
      </c>
      <c r="H247" s="258">
        <v>218</v>
      </c>
      <c r="I247" s="258">
        <v>374</v>
      </c>
      <c r="J247" s="258">
        <v>409</v>
      </c>
      <c r="K247" s="258">
        <v>426</v>
      </c>
      <c r="L247" s="258">
        <v>466</v>
      </c>
      <c r="M247" s="258">
        <v>520</v>
      </c>
      <c r="N247" s="258">
        <v>522</v>
      </c>
      <c r="O247" s="258">
        <v>553</v>
      </c>
      <c r="P247" s="258">
        <v>563</v>
      </c>
      <c r="Q247" s="146" t="s">
        <v>21</v>
      </c>
      <c r="R247" s="146" t="s">
        <v>21</v>
      </c>
      <c r="S247" s="146" t="s">
        <v>21</v>
      </c>
      <c r="T247" s="223" t="s">
        <v>21</v>
      </c>
    </row>
    <row r="248" spans="1:20" ht="10.8" customHeight="1">
      <c r="A248" s="45"/>
      <c r="B248" s="185" t="s">
        <v>7</v>
      </c>
      <c r="C248" s="307">
        <v>131</v>
      </c>
      <c r="D248" s="259">
        <v>146</v>
      </c>
      <c r="E248" s="259">
        <v>216</v>
      </c>
      <c r="F248" s="259">
        <v>245</v>
      </c>
      <c r="G248" s="259">
        <v>272</v>
      </c>
      <c r="H248" s="259">
        <v>283</v>
      </c>
      <c r="I248" s="259">
        <v>469</v>
      </c>
      <c r="J248" s="259">
        <v>516</v>
      </c>
      <c r="K248" s="259">
        <v>517</v>
      </c>
      <c r="L248" s="259">
        <v>571</v>
      </c>
      <c r="M248" s="259">
        <v>690</v>
      </c>
      <c r="N248" s="259">
        <v>702</v>
      </c>
      <c r="O248" s="259">
        <v>727</v>
      </c>
      <c r="P248" s="259">
        <v>748</v>
      </c>
      <c r="Q248" s="149" t="s">
        <v>21</v>
      </c>
      <c r="R248" s="149" t="s">
        <v>21</v>
      </c>
      <c r="S248" s="149" t="s">
        <v>21</v>
      </c>
      <c r="T248" s="225" t="s">
        <v>21</v>
      </c>
    </row>
    <row r="249" spans="1:20" ht="10.5" customHeight="1">
      <c r="A249" s="83">
        <v>56</v>
      </c>
      <c r="B249" s="184" t="s">
        <v>2</v>
      </c>
      <c r="C249" s="318">
        <v>46.2</v>
      </c>
      <c r="D249" s="262">
        <v>53.7</v>
      </c>
      <c r="E249" s="262">
        <v>71</v>
      </c>
      <c r="F249" s="262">
        <v>83.5</v>
      </c>
      <c r="G249" s="262">
        <v>99</v>
      </c>
      <c r="H249" s="237">
        <v>105</v>
      </c>
      <c r="I249" s="237">
        <v>143</v>
      </c>
      <c r="J249" s="237">
        <v>170</v>
      </c>
      <c r="K249" s="237">
        <v>194</v>
      </c>
      <c r="L249" s="237">
        <v>211</v>
      </c>
      <c r="M249" s="237">
        <v>263</v>
      </c>
      <c r="N249" s="237">
        <v>280</v>
      </c>
      <c r="O249" s="237">
        <v>301</v>
      </c>
      <c r="P249" s="237">
        <v>324</v>
      </c>
      <c r="Q249" s="237">
        <v>399</v>
      </c>
      <c r="R249" s="237">
        <v>423</v>
      </c>
      <c r="S249" s="237">
        <v>476</v>
      </c>
      <c r="T249" s="316">
        <v>487</v>
      </c>
    </row>
    <row r="250" spans="1:20" ht="9" customHeight="1">
      <c r="A250" s="1"/>
      <c r="B250" s="2" t="s">
        <v>3</v>
      </c>
      <c r="C250" s="319">
        <v>74.099999999999994</v>
      </c>
      <c r="D250" s="320">
        <v>85.9</v>
      </c>
      <c r="E250" s="258">
        <v>118</v>
      </c>
      <c r="F250" s="258">
        <v>138</v>
      </c>
      <c r="G250" s="258">
        <v>163</v>
      </c>
      <c r="H250" s="258">
        <v>173</v>
      </c>
      <c r="I250" s="258">
        <v>242</v>
      </c>
      <c r="J250" s="258">
        <v>288</v>
      </c>
      <c r="K250" s="258">
        <v>291</v>
      </c>
      <c r="L250" s="258">
        <v>322</v>
      </c>
      <c r="M250" s="258">
        <v>438</v>
      </c>
      <c r="N250" s="258">
        <v>467</v>
      </c>
      <c r="O250" s="258">
        <v>481</v>
      </c>
      <c r="P250" s="258">
        <v>515</v>
      </c>
      <c r="Q250" s="258">
        <v>656</v>
      </c>
      <c r="R250" s="258">
        <v>696</v>
      </c>
      <c r="S250" s="258">
        <v>822</v>
      </c>
      <c r="T250" s="310">
        <v>855</v>
      </c>
    </row>
    <row r="251" spans="1:20" ht="9.3000000000000007" customHeight="1">
      <c r="A251" s="1"/>
      <c r="B251" s="2" t="s">
        <v>5</v>
      </c>
      <c r="C251" s="319">
        <v>97</v>
      </c>
      <c r="D251" s="258">
        <v>110</v>
      </c>
      <c r="E251" s="258">
        <v>161</v>
      </c>
      <c r="F251" s="258">
        <v>185</v>
      </c>
      <c r="G251" s="258">
        <v>201</v>
      </c>
      <c r="H251" s="258">
        <v>209</v>
      </c>
      <c r="I251" s="258">
        <v>351</v>
      </c>
      <c r="J251" s="258">
        <v>405</v>
      </c>
      <c r="K251" s="258">
        <v>413</v>
      </c>
      <c r="L251" s="258">
        <v>449</v>
      </c>
      <c r="M251" s="258">
        <v>501</v>
      </c>
      <c r="N251" s="258">
        <v>528</v>
      </c>
      <c r="O251" s="258">
        <v>531</v>
      </c>
      <c r="P251" s="258">
        <v>561</v>
      </c>
      <c r="Q251" s="146" t="s">
        <v>21</v>
      </c>
      <c r="R251" s="146" t="s">
        <v>21</v>
      </c>
      <c r="S251" s="146" t="s">
        <v>21</v>
      </c>
      <c r="T251" s="223" t="s">
        <v>21</v>
      </c>
    </row>
    <row r="252" spans="1:20" ht="10.8" customHeight="1">
      <c r="A252" s="45"/>
      <c r="B252" s="185" t="s">
        <v>7</v>
      </c>
      <c r="C252" s="307">
        <v>122</v>
      </c>
      <c r="D252" s="259">
        <v>139</v>
      </c>
      <c r="E252" s="259">
        <v>203</v>
      </c>
      <c r="F252" s="259">
        <v>233</v>
      </c>
      <c r="G252" s="259">
        <v>259</v>
      </c>
      <c r="H252" s="259">
        <v>272</v>
      </c>
      <c r="I252" s="259">
        <v>439</v>
      </c>
      <c r="J252" s="259">
        <v>511</v>
      </c>
      <c r="K252" s="259">
        <v>500</v>
      </c>
      <c r="L252" s="259">
        <v>549</v>
      </c>
      <c r="M252" s="259">
        <v>660</v>
      </c>
      <c r="N252" s="259">
        <v>702</v>
      </c>
      <c r="O252" s="259">
        <v>696</v>
      </c>
      <c r="P252" s="259">
        <v>738</v>
      </c>
      <c r="Q252" s="149" t="s">
        <v>21</v>
      </c>
      <c r="R252" s="149" t="s">
        <v>21</v>
      </c>
      <c r="S252" s="149" t="s">
        <v>21</v>
      </c>
      <c r="T252" s="225" t="s">
        <v>21</v>
      </c>
    </row>
    <row r="253" spans="1:20" ht="10.5" customHeight="1">
      <c r="A253" s="83">
        <v>63</v>
      </c>
      <c r="B253" s="184" t="s">
        <v>2</v>
      </c>
      <c r="C253" s="318">
        <v>43.7</v>
      </c>
      <c r="D253" s="262">
        <v>52.3</v>
      </c>
      <c r="E253" s="262">
        <v>66.2</v>
      </c>
      <c r="F253" s="262">
        <v>79.900000000000006</v>
      </c>
      <c r="G253" s="262">
        <v>93.9</v>
      </c>
      <c r="H253" s="237">
        <v>105</v>
      </c>
      <c r="I253" s="237">
        <v>136</v>
      </c>
      <c r="J253" s="237">
        <v>170</v>
      </c>
      <c r="K253" s="237">
        <v>186</v>
      </c>
      <c r="L253" s="237">
        <v>215</v>
      </c>
      <c r="M253" s="237">
        <v>253</v>
      </c>
      <c r="N253" s="237">
        <v>271</v>
      </c>
      <c r="O253" s="237">
        <v>288</v>
      </c>
      <c r="P253" s="237">
        <v>312</v>
      </c>
      <c r="Q253" s="237">
        <v>380</v>
      </c>
      <c r="R253" s="237">
        <v>412</v>
      </c>
      <c r="S253" s="237">
        <v>470</v>
      </c>
      <c r="T253" s="316">
        <v>488</v>
      </c>
    </row>
    <row r="254" spans="1:20" ht="9" customHeight="1">
      <c r="A254" s="1"/>
      <c r="B254" s="2" t="s">
        <v>3</v>
      </c>
      <c r="C254" s="319">
        <v>69.8</v>
      </c>
      <c r="D254" s="320">
        <v>82.8</v>
      </c>
      <c r="E254" s="258">
        <v>110</v>
      </c>
      <c r="F254" s="258">
        <v>131</v>
      </c>
      <c r="G254" s="258">
        <v>154</v>
      </c>
      <c r="H254" s="258">
        <v>171</v>
      </c>
      <c r="I254" s="258">
        <v>230</v>
      </c>
      <c r="J254" s="258">
        <v>283</v>
      </c>
      <c r="K254" s="258">
        <v>277</v>
      </c>
      <c r="L254" s="258">
        <v>319</v>
      </c>
      <c r="M254" s="258">
        <v>417</v>
      </c>
      <c r="N254" s="258">
        <v>448</v>
      </c>
      <c r="O254" s="258">
        <v>456</v>
      </c>
      <c r="P254" s="258">
        <v>493</v>
      </c>
      <c r="Q254" s="258">
        <v>619</v>
      </c>
      <c r="R254" s="258">
        <v>670</v>
      </c>
      <c r="S254" s="258">
        <v>795</v>
      </c>
      <c r="T254" s="310">
        <v>831</v>
      </c>
    </row>
    <row r="255" spans="1:20" ht="9.3000000000000007" customHeight="1">
      <c r="A255" s="1"/>
      <c r="B255" s="2" t="s">
        <v>5</v>
      </c>
      <c r="C255" s="319">
        <v>89.7</v>
      </c>
      <c r="D255" s="258">
        <v>106</v>
      </c>
      <c r="E255" s="258">
        <v>147</v>
      </c>
      <c r="F255" s="258">
        <v>175</v>
      </c>
      <c r="G255" s="258">
        <v>191</v>
      </c>
      <c r="H255" s="258">
        <v>206</v>
      </c>
      <c r="I255" s="258">
        <v>334</v>
      </c>
      <c r="J255" s="258">
        <v>397</v>
      </c>
      <c r="K255" s="258">
        <v>394</v>
      </c>
      <c r="L255" s="258">
        <v>443</v>
      </c>
      <c r="M255" s="258">
        <v>478</v>
      </c>
      <c r="N255" s="258">
        <v>509</v>
      </c>
      <c r="O255" s="258">
        <v>507</v>
      </c>
      <c r="P255" s="258">
        <v>539</v>
      </c>
      <c r="Q255" s="146" t="s">
        <v>21</v>
      </c>
      <c r="R255" s="146" t="s">
        <v>21</v>
      </c>
      <c r="S255" s="146" t="s">
        <v>21</v>
      </c>
      <c r="T255" s="223" t="s">
        <v>21</v>
      </c>
    </row>
    <row r="256" spans="1:20" ht="10.8" customHeight="1">
      <c r="A256" s="45"/>
      <c r="B256" s="185" t="s">
        <v>7</v>
      </c>
      <c r="C256" s="307">
        <v>113</v>
      </c>
      <c r="D256" s="259">
        <v>134</v>
      </c>
      <c r="E256" s="259">
        <v>185</v>
      </c>
      <c r="F256" s="259">
        <v>220</v>
      </c>
      <c r="G256" s="259">
        <v>245</v>
      </c>
      <c r="H256" s="259">
        <v>266</v>
      </c>
      <c r="I256" s="259">
        <v>417</v>
      </c>
      <c r="J256" s="259">
        <v>498</v>
      </c>
      <c r="K256" s="259">
        <v>476</v>
      </c>
      <c r="L256" s="259">
        <v>537</v>
      </c>
      <c r="M256" s="259">
        <v>627</v>
      </c>
      <c r="N256" s="259">
        <v>670</v>
      </c>
      <c r="O256" s="259">
        <v>661</v>
      </c>
      <c r="P256" s="259">
        <v>706</v>
      </c>
      <c r="Q256" s="149" t="s">
        <v>21</v>
      </c>
      <c r="R256" s="149" t="s">
        <v>21</v>
      </c>
      <c r="S256" s="149" t="s">
        <v>21</v>
      </c>
      <c r="T256" s="225" t="s">
        <v>21</v>
      </c>
    </row>
    <row r="257" spans="1:20" ht="10.5" customHeight="1">
      <c r="A257" s="83">
        <v>71</v>
      </c>
      <c r="B257" s="184" t="s">
        <v>2</v>
      </c>
      <c r="C257" s="318">
        <v>43.5</v>
      </c>
      <c r="D257" s="262">
        <v>49.8</v>
      </c>
      <c r="E257" s="262">
        <v>64.8</v>
      </c>
      <c r="F257" s="262">
        <v>76.400000000000006</v>
      </c>
      <c r="G257" s="262">
        <v>93.1</v>
      </c>
      <c r="H257" s="237">
        <v>100</v>
      </c>
      <c r="I257" s="237">
        <v>135</v>
      </c>
      <c r="J257" s="237">
        <v>160</v>
      </c>
      <c r="K257" s="237">
        <v>182</v>
      </c>
      <c r="L257" s="237">
        <v>209</v>
      </c>
      <c r="M257" s="237">
        <v>249</v>
      </c>
      <c r="N257" s="237">
        <v>261</v>
      </c>
      <c r="O257" s="237">
        <v>279</v>
      </c>
      <c r="P257" s="237">
        <v>299</v>
      </c>
      <c r="Q257" s="237">
        <v>377</v>
      </c>
      <c r="R257" s="237">
        <v>392</v>
      </c>
      <c r="S257" s="237">
        <v>454</v>
      </c>
      <c r="T257" s="316">
        <v>481</v>
      </c>
    </row>
    <row r="258" spans="1:20" ht="9" customHeight="1">
      <c r="A258" s="1"/>
      <c r="B258" s="2" t="s">
        <v>3</v>
      </c>
      <c r="C258" s="319">
        <v>68.8</v>
      </c>
      <c r="D258" s="320">
        <v>78.599999999999994</v>
      </c>
      <c r="E258" s="258">
        <v>106</v>
      </c>
      <c r="F258" s="258">
        <v>124</v>
      </c>
      <c r="G258" s="258">
        <v>151</v>
      </c>
      <c r="H258" s="258">
        <v>162</v>
      </c>
      <c r="I258" s="258">
        <v>225</v>
      </c>
      <c r="J258" s="258">
        <v>264</v>
      </c>
      <c r="K258" s="258">
        <v>269</v>
      </c>
      <c r="L258" s="258">
        <v>309</v>
      </c>
      <c r="M258" s="258">
        <v>406</v>
      </c>
      <c r="N258" s="258">
        <v>427</v>
      </c>
      <c r="O258" s="258">
        <v>440</v>
      </c>
      <c r="P258" s="258">
        <v>468</v>
      </c>
      <c r="Q258" s="258">
        <v>612</v>
      </c>
      <c r="R258" s="258">
        <v>631</v>
      </c>
      <c r="S258" s="258">
        <v>757</v>
      </c>
      <c r="T258" s="310">
        <v>804</v>
      </c>
    </row>
    <row r="259" spans="1:20" ht="9.3000000000000007" customHeight="1">
      <c r="A259" s="1"/>
      <c r="B259" s="2" t="s">
        <v>5</v>
      </c>
      <c r="C259" s="319">
        <v>88.8</v>
      </c>
      <c r="D259" s="320">
        <v>99.4</v>
      </c>
      <c r="E259" s="258">
        <v>142</v>
      </c>
      <c r="F259" s="258">
        <v>163</v>
      </c>
      <c r="G259" s="258">
        <v>188</v>
      </c>
      <c r="H259" s="258">
        <v>197</v>
      </c>
      <c r="I259" s="258">
        <v>329</v>
      </c>
      <c r="J259" s="258">
        <v>373</v>
      </c>
      <c r="K259" s="258">
        <v>384</v>
      </c>
      <c r="L259" s="258">
        <v>430</v>
      </c>
      <c r="M259" s="258">
        <v>467</v>
      </c>
      <c r="N259" s="258">
        <v>485</v>
      </c>
      <c r="O259" s="258">
        <v>490</v>
      </c>
      <c r="P259" s="258">
        <v>514</v>
      </c>
      <c r="Q259" s="146" t="s">
        <v>21</v>
      </c>
      <c r="R259" s="146" t="s">
        <v>21</v>
      </c>
      <c r="S259" s="146" t="s">
        <v>21</v>
      </c>
      <c r="T259" s="223" t="s">
        <v>21</v>
      </c>
    </row>
    <row r="260" spans="1:20" ht="10.8" customHeight="1">
      <c r="A260" s="45"/>
      <c r="B260" s="185" t="s">
        <v>7</v>
      </c>
      <c r="C260" s="307">
        <v>112</v>
      </c>
      <c r="D260" s="259">
        <v>126</v>
      </c>
      <c r="E260" s="259">
        <v>179</v>
      </c>
      <c r="F260" s="259">
        <v>206</v>
      </c>
      <c r="G260" s="259">
        <v>241</v>
      </c>
      <c r="H260" s="259">
        <v>253</v>
      </c>
      <c r="I260" s="259">
        <v>409</v>
      </c>
      <c r="J260" s="259">
        <v>465</v>
      </c>
      <c r="K260" s="259">
        <v>462</v>
      </c>
      <c r="L260" s="259">
        <v>520</v>
      </c>
      <c r="M260" s="259">
        <v>611</v>
      </c>
      <c r="N260" s="259">
        <v>637</v>
      </c>
      <c r="O260" s="259">
        <v>638</v>
      </c>
      <c r="P260" s="259">
        <v>670</v>
      </c>
      <c r="Q260" s="149" t="s">
        <v>21</v>
      </c>
      <c r="R260" s="149" t="s">
        <v>21</v>
      </c>
      <c r="S260" s="149" t="s">
        <v>21</v>
      </c>
      <c r="T260" s="225" t="s">
        <v>21</v>
      </c>
    </row>
    <row r="261" spans="1:20" ht="10.5" customHeight="1">
      <c r="A261" s="83">
        <v>80</v>
      </c>
      <c r="B261" s="184" t="s">
        <v>2</v>
      </c>
      <c r="C261" s="318">
        <v>41</v>
      </c>
      <c r="D261" s="262">
        <v>47.1</v>
      </c>
      <c r="E261" s="262">
        <v>63.6</v>
      </c>
      <c r="F261" s="262">
        <v>71.3</v>
      </c>
      <c r="G261" s="262">
        <v>88.5</v>
      </c>
      <c r="H261" s="262">
        <v>95</v>
      </c>
      <c r="I261" s="237">
        <v>128</v>
      </c>
      <c r="J261" s="237">
        <v>152</v>
      </c>
      <c r="K261" s="237">
        <v>178</v>
      </c>
      <c r="L261" s="237">
        <v>200</v>
      </c>
      <c r="M261" s="237">
        <v>242</v>
      </c>
      <c r="N261" s="237">
        <v>258</v>
      </c>
      <c r="O261" s="237">
        <v>271</v>
      </c>
      <c r="P261" s="237">
        <v>289</v>
      </c>
      <c r="Q261" s="237">
        <v>361</v>
      </c>
      <c r="R261" s="237">
        <v>389</v>
      </c>
      <c r="S261" s="237">
        <v>446</v>
      </c>
      <c r="T261" s="316">
        <v>464</v>
      </c>
    </row>
    <row r="262" spans="1:20" ht="9" customHeight="1">
      <c r="A262" s="1"/>
      <c r="B262" s="2" t="s">
        <v>3</v>
      </c>
      <c r="C262" s="319">
        <v>64.599999999999994</v>
      </c>
      <c r="D262" s="320">
        <v>74.099999999999994</v>
      </c>
      <c r="E262" s="258">
        <v>104</v>
      </c>
      <c r="F262" s="258">
        <v>115</v>
      </c>
      <c r="G262" s="258">
        <v>143</v>
      </c>
      <c r="H262" s="258">
        <v>153</v>
      </c>
      <c r="I262" s="258">
        <v>213</v>
      </c>
      <c r="J262" s="258">
        <v>250</v>
      </c>
      <c r="K262" s="258">
        <v>262</v>
      </c>
      <c r="L262" s="258">
        <v>294</v>
      </c>
      <c r="M262" s="258">
        <v>392</v>
      </c>
      <c r="N262" s="258">
        <v>416</v>
      </c>
      <c r="O262" s="258">
        <v>425</v>
      </c>
      <c r="P262" s="258">
        <v>451</v>
      </c>
      <c r="Q262" s="258">
        <v>580</v>
      </c>
      <c r="R262" s="258">
        <v>624</v>
      </c>
      <c r="S262" s="258">
        <v>729</v>
      </c>
      <c r="T262" s="310">
        <v>766</v>
      </c>
    </row>
    <row r="263" spans="1:20" ht="9.3000000000000007" customHeight="1">
      <c r="A263" s="1"/>
      <c r="B263" s="2" t="s">
        <v>5</v>
      </c>
      <c r="C263" s="319">
        <v>81.8</v>
      </c>
      <c r="D263" s="320">
        <v>92</v>
      </c>
      <c r="E263" s="258">
        <v>137</v>
      </c>
      <c r="F263" s="258">
        <v>149</v>
      </c>
      <c r="G263" s="258">
        <v>179</v>
      </c>
      <c r="H263" s="258">
        <v>187</v>
      </c>
      <c r="I263" s="258">
        <v>313</v>
      </c>
      <c r="J263" s="258">
        <v>355</v>
      </c>
      <c r="K263" s="258">
        <v>375</v>
      </c>
      <c r="L263" s="258">
        <v>410</v>
      </c>
      <c r="M263" s="258">
        <v>453</v>
      </c>
      <c r="N263" s="258">
        <v>475</v>
      </c>
      <c r="O263" s="258">
        <v>475</v>
      </c>
      <c r="P263" s="258">
        <v>497</v>
      </c>
      <c r="Q263" s="146" t="s">
        <v>21</v>
      </c>
      <c r="R263" s="146" t="s">
        <v>21</v>
      </c>
      <c r="S263" s="146" t="s">
        <v>21</v>
      </c>
      <c r="T263" s="223" t="s">
        <v>21</v>
      </c>
    </row>
    <row r="264" spans="1:20" ht="10.95" customHeight="1">
      <c r="A264" s="45"/>
      <c r="B264" s="185" t="s">
        <v>7</v>
      </c>
      <c r="C264" s="307">
        <v>103</v>
      </c>
      <c r="D264" s="259">
        <v>116</v>
      </c>
      <c r="E264" s="259">
        <v>172</v>
      </c>
      <c r="F264" s="259">
        <v>189</v>
      </c>
      <c r="G264" s="259">
        <v>228</v>
      </c>
      <c r="H264" s="259">
        <v>240</v>
      </c>
      <c r="I264" s="259">
        <v>388</v>
      </c>
      <c r="J264" s="259">
        <v>442</v>
      </c>
      <c r="K264" s="259">
        <v>451</v>
      </c>
      <c r="L264" s="259">
        <v>495</v>
      </c>
      <c r="M264" s="259">
        <v>591</v>
      </c>
      <c r="N264" s="259">
        <v>620</v>
      </c>
      <c r="O264" s="259">
        <v>617</v>
      </c>
      <c r="P264" s="259">
        <v>647</v>
      </c>
      <c r="Q264" s="149" t="s">
        <v>21</v>
      </c>
      <c r="R264" s="149" t="s">
        <v>21</v>
      </c>
      <c r="S264" s="149" t="s">
        <v>21</v>
      </c>
      <c r="T264" s="225" t="s">
        <v>21</v>
      </c>
    </row>
    <row r="265" spans="1:20" ht="10.199999999999999" customHeight="1">
      <c r="A265" s="83">
        <v>90</v>
      </c>
      <c r="B265" s="184" t="s">
        <v>2</v>
      </c>
      <c r="C265" s="318">
        <v>40.4</v>
      </c>
      <c r="D265" s="262">
        <v>46.9</v>
      </c>
      <c r="E265" s="262">
        <v>59.9</v>
      </c>
      <c r="F265" s="262">
        <v>69.599999999999994</v>
      </c>
      <c r="G265" s="262">
        <v>83.6</v>
      </c>
      <c r="H265" s="262">
        <v>94.1</v>
      </c>
      <c r="I265" s="237">
        <v>125</v>
      </c>
      <c r="J265" s="237">
        <v>150</v>
      </c>
      <c r="K265" s="237">
        <v>168</v>
      </c>
      <c r="L265" s="237">
        <v>195</v>
      </c>
      <c r="M265" s="237">
        <v>230</v>
      </c>
      <c r="N265" s="237">
        <v>250</v>
      </c>
      <c r="O265" s="237">
        <v>258</v>
      </c>
      <c r="P265" s="237">
        <v>281</v>
      </c>
      <c r="Q265" s="237">
        <v>349</v>
      </c>
      <c r="R265" s="237">
        <v>372</v>
      </c>
      <c r="S265" s="237">
        <v>437</v>
      </c>
      <c r="T265" s="316">
        <v>455</v>
      </c>
    </row>
    <row r="266" spans="1:20" ht="9" customHeight="1">
      <c r="A266" s="1"/>
      <c r="B266" s="2" t="s">
        <v>3</v>
      </c>
      <c r="C266" s="319">
        <v>63.2</v>
      </c>
      <c r="D266" s="320">
        <v>72.900000000000006</v>
      </c>
      <c r="E266" s="258">
        <v>97</v>
      </c>
      <c r="F266" s="258">
        <v>112</v>
      </c>
      <c r="G266" s="258">
        <v>135</v>
      </c>
      <c r="H266" s="258">
        <v>150</v>
      </c>
      <c r="I266" s="258">
        <v>207</v>
      </c>
      <c r="J266" s="258">
        <v>245</v>
      </c>
      <c r="K266" s="258">
        <v>247</v>
      </c>
      <c r="L266" s="258">
        <v>285</v>
      </c>
      <c r="M266" s="258">
        <v>371</v>
      </c>
      <c r="N266" s="258">
        <v>402</v>
      </c>
      <c r="O266" s="258">
        <v>401</v>
      </c>
      <c r="P266" s="258">
        <v>435</v>
      </c>
      <c r="Q266" s="258">
        <v>555</v>
      </c>
      <c r="R266" s="258">
        <v>592</v>
      </c>
      <c r="S266" s="258">
        <v>711</v>
      </c>
      <c r="T266" s="310">
        <v>738</v>
      </c>
    </row>
    <row r="267" spans="1:20" ht="9.3000000000000007" customHeight="1">
      <c r="A267" s="1"/>
      <c r="B267" s="2" t="s">
        <v>5</v>
      </c>
      <c r="C267" s="319">
        <v>78.900000000000006</v>
      </c>
      <c r="D267" s="320">
        <v>91.1</v>
      </c>
      <c r="E267" s="258">
        <v>125</v>
      </c>
      <c r="F267" s="258">
        <v>144</v>
      </c>
      <c r="G267" s="258">
        <v>169</v>
      </c>
      <c r="H267" s="258">
        <v>184</v>
      </c>
      <c r="I267" s="258">
        <v>305</v>
      </c>
      <c r="J267" s="258">
        <v>349</v>
      </c>
      <c r="K267" s="258">
        <v>355</v>
      </c>
      <c r="L267" s="258">
        <v>399</v>
      </c>
      <c r="M267" s="258">
        <v>431</v>
      </c>
      <c r="N267" s="258">
        <v>460</v>
      </c>
      <c r="O267" s="258">
        <v>451</v>
      </c>
      <c r="P267" s="258">
        <v>482</v>
      </c>
      <c r="Q267" s="146" t="s">
        <v>21</v>
      </c>
      <c r="R267" s="146" t="s">
        <v>21</v>
      </c>
      <c r="S267" s="146" t="s">
        <v>21</v>
      </c>
      <c r="T267" s="223" t="s">
        <v>21</v>
      </c>
    </row>
    <row r="268" spans="1:20" ht="10.95" customHeight="1">
      <c r="A268" s="45"/>
      <c r="B268" s="185" t="s">
        <v>7</v>
      </c>
      <c r="C268" s="307">
        <v>100</v>
      </c>
      <c r="D268" s="259">
        <v>115</v>
      </c>
      <c r="E268" s="259">
        <v>159</v>
      </c>
      <c r="F268" s="259">
        <v>182</v>
      </c>
      <c r="G268" s="259">
        <v>216</v>
      </c>
      <c r="H268" s="259">
        <v>235</v>
      </c>
      <c r="I268" s="259">
        <v>377</v>
      </c>
      <c r="J268" s="259">
        <v>434</v>
      </c>
      <c r="K268" s="259">
        <v>426</v>
      </c>
      <c r="L268" s="259">
        <v>480</v>
      </c>
      <c r="M268" s="259">
        <v>560</v>
      </c>
      <c r="N268" s="259">
        <v>600</v>
      </c>
      <c r="O268" s="259">
        <v>583</v>
      </c>
      <c r="P268" s="259">
        <v>625</v>
      </c>
      <c r="Q268" s="149" t="s">
        <v>21</v>
      </c>
      <c r="R268" s="149" t="s">
        <v>21</v>
      </c>
      <c r="S268" s="149" t="s">
        <v>21</v>
      </c>
      <c r="T268" s="225" t="s">
        <v>21</v>
      </c>
    </row>
    <row r="269" spans="1:20" ht="10.199999999999999" customHeight="1">
      <c r="A269" s="83">
        <v>100</v>
      </c>
      <c r="B269" s="184" t="s">
        <v>2</v>
      </c>
      <c r="C269" s="153" t="s">
        <v>1</v>
      </c>
      <c r="D269" s="262">
        <v>44.2</v>
      </c>
      <c r="E269" s="85" t="s">
        <v>1</v>
      </c>
      <c r="F269" s="262">
        <v>68.3</v>
      </c>
      <c r="G269" s="85" t="s">
        <v>1</v>
      </c>
      <c r="H269" s="262">
        <v>89.4</v>
      </c>
      <c r="I269" s="85" t="s">
        <v>1</v>
      </c>
      <c r="J269" s="237">
        <v>143</v>
      </c>
      <c r="K269" s="85" t="s">
        <v>1</v>
      </c>
      <c r="L269" s="237">
        <v>191</v>
      </c>
      <c r="M269" s="85" t="s">
        <v>1</v>
      </c>
      <c r="N269" s="237">
        <v>238</v>
      </c>
      <c r="O269" s="85" t="s">
        <v>1</v>
      </c>
      <c r="P269" s="237">
        <v>266</v>
      </c>
      <c r="Q269" s="85" t="s">
        <v>1</v>
      </c>
      <c r="R269" s="237">
        <v>359</v>
      </c>
      <c r="S269" s="85" t="s">
        <v>1</v>
      </c>
      <c r="T269" s="316">
        <v>446</v>
      </c>
    </row>
    <row r="270" spans="1:20" ht="9" customHeight="1">
      <c r="A270" s="1"/>
      <c r="B270" s="2" t="s">
        <v>3</v>
      </c>
      <c r="C270" s="154" t="s">
        <v>1</v>
      </c>
      <c r="D270" s="320">
        <v>68.400000000000006</v>
      </c>
      <c r="E270" s="146" t="s">
        <v>1</v>
      </c>
      <c r="F270" s="258">
        <v>109</v>
      </c>
      <c r="G270" s="146" t="s">
        <v>1</v>
      </c>
      <c r="H270" s="258">
        <v>142</v>
      </c>
      <c r="I270" s="146" t="s">
        <v>1</v>
      </c>
      <c r="J270" s="258">
        <v>232</v>
      </c>
      <c r="K270" s="146" t="s">
        <v>1</v>
      </c>
      <c r="L270" s="258">
        <v>278</v>
      </c>
      <c r="M270" s="146" t="s">
        <v>1</v>
      </c>
      <c r="N270" s="258">
        <v>380</v>
      </c>
      <c r="O270" s="146" t="s">
        <v>1</v>
      </c>
      <c r="P270" s="258">
        <v>411</v>
      </c>
      <c r="Q270" s="146" t="s">
        <v>1</v>
      </c>
      <c r="R270" s="258">
        <v>566</v>
      </c>
      <c r="S270" s="146" t="s">
        <v>1</v>
      </c>
      <c r="T270" s="310">
        <v>718</v>
      </c>
    </row>
    <row r="271" spans="1:20" ht="9.3000000000000007" customHeight="1">
      <c r="A271" s="1"/>
      <c r="B271" s="2" t="s">
        <v>5</v>
      </c>
      <c r="C271" s="154" t="s">
        <v>1</v>
      </c>
      <c r="D271" s="320">
        <v>83.9</v>
      </c>
      <c r="E271" s="146" t="s">
        <v>1</v>
      </c>
      <c r="F271" s="258">
        <v>139</v>
      </c>
      <c r="G271" s="146" t="s">
        <v>1</v>
      </c>
      <c r="H271" s="258">
        <v>175</v>
      </c>
      <c r="I271" s="146" t="s">
        <v>1</v>
      </c>
      <c r="J271" s="258">
        <v>332</v>
      </c>
      <c r="K271" s="146" t="s">
        <v>1</v>
      </c>
      <c r="L271" s="258">
        <v>389</v>
      </c>
      <c r="M271" s="146" t="s">
        <v>1</v>
      </c>
      <c r="N271" s="258">
        <v>437</v>
      </c>
      <c r="O271" s="146" t="s">
        <v>1</v>
      </c>
      <c r="P271" s="258">
        <v>458</v>
      </c>
      <c r="Q271" s="146" t="s">
        <v>1</v>
      </c>
      <c r="R271" s="146" t="s">
        <v>21</v>
      </c>
      <c r="S271" s="146" t="s">
        <v>1</v>
      </c>
      <c r="T271" s="223" t="s">
        <v>21</v>
      </c>
    </row>
    <row r="272" spans="1:20" ht="10.8" customHeight="1">
      <c r="A272" s="45"/>
      <c r="B272" s="185" t="s">
        <v>7</v>
      </c>
      <c r="C272" s="155" t="s">
        <v>1</v>
      </c>
      <c r="D272" s="259">
        <v>106</v>
      </c>
      <c r="E272" s="149" t="s">
        <v>1</v>
      </c>
      <c r="F272" s="259">
        <v>176</v>
      </c>
      <c r="G272" s="149" t="s">
        <v>1</v>
      </c>
      <c r="H272" s="259">
        <v>223</v>
      </c>
      <c r="I272" s="149" t="s">
        <v>1</v>
      </c>
      <c r="J272" s="259">
        <v>411</v>
      </c>
      <c r="K272" s="149" t="s">
        <v>1</v>
      </c>
      <c r="L272" s="259">
        <v>468</v>
      </c>
      <c r="M272" s="149" t="s">
        <v>1</v>
      </c>
      <c r="N272" s="259">
        <v>568</v>
      </c>
      <c r="O272" s="149" t="s">
        <v>1</v>
      </c>
      <c r="P272" s="259">
        <v>591</v>
      </c>
      <c r="Q272" s="149" t="s">
        <v>1</v>
      </c>
      <c r="R272" s="149" t="s">
        <v>21</v>
      </c>
      <c r="S272" s="149" t="s">
        <v>1</v>
      </c>
      <c r="T272" s="225" t="s">
        <v>21</v>
      </c>
    </row>
    <row r="273" spans="1:20" ht="10.5" customHeight="1">
      <c r="A273" s="83">
        <v>112</v>
      </c>
      <c r="B273" s="184" t="s">
        <v>2</v>
      </c>
      <c r="C273" s="153" t="s">
        <v>1</v>
      </c>
      <c r="D273" s="262">
        <v>43.5</v>
      </c>
      <c r="E273" s="85" t="s">
        <v>1</v>
      </c>
      <c r="F273" s="262">
        <v>64.3</v>
      </c>
      <c r="G273" s="85" t="s">
        <v>1</v>
      </c>
      <c r="H273" s="262">
        <v>84.6</v>
      </c>
      <c r="I273" s="85" t="s">
        <v>1</v>
      </c>
      <c r="J273" s="237">
        <v>139</v>
      </c>
      <c r="K273" s="85" t="s">
        <v>1</v>
      </c>
      <c r="L273" s="237">
        <v>180</v>
      </c>
      <c r="M273" s="85" t="s">
        <v>1</v>
      </c>
      <c r="N273" s="85" t="s">
        <v>1</v>
      </c>
      <c r="O273" s="85" t="s">
        <v>1</v>
      </c>
      <c r="P273" s="85" t="s">
        <v>1</v>
      </c>
      <c r="Q273" s="85" t="s">
        <v>1</v>
      </c>
      <c r="R273" s="85" t="s">
        <v>1</v>
      </c>
      <c r="S273" s="85" t="s">
        <v>1</v>
      </c>
      <c r="T273" s="221" t="s">
        <v>1</v>
      </c>
    </row>
    <row r="274" spans="1:20" ht="9" customHeight="1">
      <c r="A274" s="1"/>
      <c r="B274" s="2" t="s">
        <v>3</v>
      </c>
      <c r="C274" s="154" t="s">
        <v>1</v>
      </c>
      <c r="D274" s="320">
        <v>67.099999999999994</v>
      </c>
      <c r="E274" s="146" t="s">
        <v>1</v>
      </c>
      <c r="F274" s="258">
        <v>102</v>
      </c>
      <c r="G274" s="146" t="s">
        <v>1</v>
      </c>
      <c r="H274" s="258">
        <v>134</v>
      </c>
      <c r="I274" s="146" t="s">
        <v>1</v>
      </c>
      <c r="J274" s="258">
        <v>225</v>
      </c>
      <c r="K274" s="146" t="s">
        <v>1</v>
      </c>
      <c r="L274" s="258">
        <v>262</v>
      </c>
      <c r="M274" s="146" t="s">
        <v>1</v>
      </c>
      <c r="N274" s="146" t="s">
        <v>1</v>
      </c>
      <c r="O274" s="146" t="s">
        <v>1</v>
      </c>
      <c r="P274" s="146" t="s">
        <v>1</v>
      </c>
      <c r="Q274" s="146" t="s">
        <v>1</v>
      </c>
      <c r="R274" s="146" t="s">
        <v>1</v>
      </c>
      <c r="S274" s="146" t="s">
        <v>1</v>
      </c>
      <c r="T274" s="223" t="s">
        <v>1</v>
      </c>
    </row>
    <row r="275" spans="1:20" ht="9.3000000000000007" customHeight="1">
      <c r="A275" s="1"/>
      <c r="B275" s="2" t="s">
        <v>5</v>
      </c>
      <c r="C275" s="154" t="s">
        <v>1</v>
      </c>
      <c r="D275" s="320">
        <v>81</v>
      </c>
      <c r="E275" s="146" t="s">
        <v>1</v>
      </c>
      <c r="F275" s="258">
        <v>128</v>
      </c>
      <c r="G275" s="146" t="s">
        <v>1</v>
      </c>
      <c r="H275" s="258">
        <v>166</v>
      </c>
      <c r="I275" s="146" t="s">
        <v>1</v>
      </c>
      <c r="J275" s="258">
        <v>321</v>
      </c>
      <c r="K275" s="146" t="s">
        <v>1</v>
      </c>
      <c r="L275" s="258">
        <v>369</v>
      </c>
      <c r="M275" s="146" t="s">
        <v>1</v>
      </c>
      <c r="N275" s="146" t="s">
        <v>1</v>
      </c>
      <c r="O275" s="146" t="s">
        <v>1</v>
      </c>
      <c r="P275" s="146" t="s">
        <v>1</v>
      </c>
      <c r="Q275" s="146" t="s">
        <v>1</v>
      </c>
      <c r="R275" s="146" t="s">
        <v>1</v>
      </c>
      <c r="S275" s="146" t="s">
        <v>1</v>
      </c>
      <c r="T275" s="223" t="s">
        <v>1</v>
      </c>
    </row>
    <row r="276" spans="1:20" ht="10.8" customHeight="1">
      <c r="A276" s="392"/>
      <c r="B276" s="393" t="s">
        <v>7</v>
      </c>
      <c r="C276" s="378" t="s">
        <v>1</v>
      </c>
      <c r="D276" s="371">
        <v>103</v>
      </c>
      <c r="E276" s="379" t="s">
        <v>1</v>
      </c>
      <c r="F276" s="371">
        <v>162</v>
      </c>
      <c r="G276" s="379" t="s">
        <v>1</v>
      </c>
      <c r="H276" s="371">
        <v>211</v>
      </c>
      <c r="I276" s="379" t="s">
        <v>1</v>
      </c>
      <c r="J276" s="371">
        <v>398</v>
      </c>
      <c r="K276" s="379" t="s">
        <v>1</v>
      </c>
      <c r="L276" s="371">
        <v>442</v>
      </c>
      <c r="M276" s="379" t="s">
        <v>1</v>
      </c>
      <c r="N276" s="379" t="s">
        <v>1</v>
      </c>
      <c r="O276" s="379" t="s">
        <v>1</v>
      </c>
      <c r="P276" s="379" t="s">
        <v>1</v>
      </c>
      <c r="Q276" s="379" t="s">
        <v>1</v>
      </c>
      <c r="R276" s="379" t="s">
        <v>1</v>
      </c>
      <c r="S276" s="379" t="s">
        <v>1</v>
      </c>
      <c r="T276" s="380" t="s">
        <v>1</v>
      </c>
    </row>
    <row r="277" spans="1:20" ht="10.8" customHeight="1">
      <c r="A277" s="1"/>
      <c r="B277" s="2"/>
      <c r="C277" s="428"/>
      <c r="D277" s="429"/>
      <c r="E277" s="428"/>
      <c r="F277" s="429"/>
      <c r="G277" s="428"/>
      <c r="H277" s="429"/>
      <c r="I277" s="428"/>
      <c r="J277" s="429"/>
      <c r="K277" s="428"/>
      <c r="L277" s="429"/>
      <c r="M277" s="428"/>
      <c r="N277" s="428"/>
      <c r="O277" s="428"/>
      <c r="P277" s="428"/>
      <c r="Q277" s="428"/>
      <c r="R277" s="428"/>
      <c r="S277" s="428"/>
      <c r="T277" s="428"/>
    </row>
    <row r="278" spans="1:20" ht="10.8" customHeight="1">
      <c r="A278" s="1"/>
      <c r="B278" s="2"/>
      <c r="C278" s="428"/>
      <c r="D278" s="429"/>
      <c r="E278" s="428"/>
      <c r="F278" s="429"/>
      <c r="G278" s="428"/>
      <c r="H278" s="429"/>
      <c r="I278" s="428"/>
      <c r="J278" s="429"/>
      <c r="K278" s="428"/>
      <c r="L278" s="429"/>
      <c r="M278" s="428"/>
      <c r="N278" s="428"/>
      <c r="O278" s="428"/>
      <c r="P278" s="428"/>
      <c r="Q278" s="428"/>
      <c r="R278" s="428"/>
      <c r="S278" s="428"/>
      <c r="T278" s="428"/>
    </row>
    <row r="279" spans="1:20" ht="10.8" customHeight="1">
      <c r="A279" s="1"/>
      <c r="B279" s="2"/>
      <c r="C279" s="428"/>
      <c r="D279" s="429"/>
      <c r="E279" s="428"/>
      <c r="F279" s="429"/>
      <c r="G279" s="428"/>
      <c r="H279" s="429"/>
      <c r="I279" s="428"/>
      <c r="J279" s="429"/>
      <c r="K279" s="428"/>
      <c r="L279" s="429"/>
      <c r="M279" s="428"/>
      <c r="N279" s="428"/>
      <c r="O279" s="428"/>
      <c r="P279" s="428"/>
      <c r="Q279" s="428"/>
      <c r="R279" s="428"/>
      <c r="S279" s="428"/>
      <c r="T279" s="428"/>
    </row>
    <row r="280" spans="1:20" ht="10.8" customHeight="1">
      <c r="A280" s="1"/>
      <c r="B280" s="2"/>
      <c r="C280" s="428"/>
      <c r="D280" s="429"/>
      <c r="E280" s="428"/>
      <c r="F280" s="429"/>
      <c r="G280" s="428"/>
      <c r="H280" s="429"/>
      <c r="I280" s="428"/>
      <c r="J280" s="429"/>
      <c r="K280" s="428"/>
      <c r="L280" s="429"/>
      <c r="M280" s="428"/>
      <c r="N280" s="428"/>
      <c r="O280" s="428"/>
      <c r="P280" s="428"/>
      <c r="Q280" s="428"/>
      <c r="R280" s="428"/>
      <c r="S280" s="428"/>
      <c r="T280" s="428"/>
    </row>
    <row r="281" spans="1:20" ht="10.8" customHeight="1">
      <c r="A281" s="1"/>
      <c r="B281" s="2"/>
      <c r="C281" s="428"/>
      <c r="D281" s="429"/>
      <c r="E281" s="428"/>
      <c r="F281" s="429"/>
      <c r="G281" s="428"/>
      <c r="H281" s="429"/>
      <c r="I281" s="428"/>
      <c r="J281" s="429"/>
      <c r="K281" s="428"/>
      <c r="L281" s="429"/>
      <c r="M281" s="428"/>
      <c r="N281" s="428"/>
      <c r="O281" s="428"/>
      <c r="P281" s="428"/>
      <c r="Q281" s="428"/>
      <c r="R281" s="428"/>
      <c r="S281" s="428"/>
      <c r="T281" s="428"/>
    </row>
    <row r="282" spans="1:20" ht="10.8" customHeight="1">
      <c r="A282" s="1"/>
      <c r="B282" s="2"/>
      <c r="C282" s="428"/>
      <c r="D282" s="429"/>
      <c r="E282" s="428"/>
      <c r="F282" s="429"/>
      <c r="G282" s="428"/>
      <c r="H282" s="429"/>
      <c r="I282" s="428"/>
      <c r="J282" s="429"/>
      <c r="K282" s="428"/>
      <c r="L282" s="429"/>
      <c r="M282" s="428"/>
      <c r="N282" s="428"/>
      <c r="O282" s="428"/>
      <c r="P282" s="428"/>
      <c r="Q282" s="428"/>
      <c r="R282" s="428"/>
      <c r="S282" s="428"/>
      <c r="T282" s="428"/>
    </row>
    <row r="283" spans="1:20" ht="10.8" customHeight="1">
      <c r="A283" s="1"/>
      <c r="B283" s="2"/>
      <c r="C283" s="428"/>
      <c r="D283" s="429"/>
      <c r="E283" s="428"/>
      <c r="F283" s="429"/>
      <c r="G283" s="428"/>
      <c r="H283" s="429"/>
      <c r="I283" s="428"/>
      <c r="J283" s="429"/>
      <c r="K283" s="428"/>
      <c r="L283" s="429"/>
      <c r="M283" s="428"/>
      <c r="N283" s="428"/>
      <c r="O283" s="428"/>
      <c r="P283" s="428"/>
      <c r="Q283" s="428"/>
      <c r="R283" s="428"/>
      <c r="S283" s="428"/>
      <c r="T283" s="428"/>
    </row>
    <row r="284" spans="1:20" ht="10.8" customHeight="1">
      <c r="A284" s="1"/>
      <c r="B284" s="2"/>
      <c r="C284" s="428"/>
      <c r="D284" s="429"/>
      <c r="E284" s="428"/>
      <c r="F284" s="429"/>
      <c r="G284" s="428"/>
      <c r="H284" s="429"/>
      <c r="I284" s="428"/>
      <c r="J284" s="429"/>
      <c r="K284" s="428"/>
      <c r="L284" s="429"/>
      <c r="M284" s="428"/>
      <c r="N284" s="428"/>
      <c r="O284" s="428"/>
      <c r="P284" s="428"/>
      <c r="Q284" s="428"/>
      <c r="R284" s="428"/>
      <c r="S284" s="428"/>
      <c r="T284" s="428"/>
    </row>
    <row r="285" spans="1:20" ht="10.8" customHeight="1">
      <c r="A285" s="1"/>
      <c r="B285" s="2"/>
      <c r="C285" s="428"/>
      <c r="D285" s="429"/>
      <c r="E285" s="428"/>
      <c r="F285" s="429"/>
      <c r="G285" s="428"/>
      <c r="H285" s="429"/>
      <c r="I285" s="428"/>
      <c r="J285" s="429"/>
      <c r="K285" s="428"/>
      <c r="L285" s="429"/>
      <c r="M285" s="428"/>
      <c r="N285" s="428"/>
      <c r="O285" s="428"/>
      <c r="P285" s="428"/>
      <c r="Q285" s="428"/>
      <c r="R285" s="428"/>
      <c r="S285" s="428"/>
      <c r="T285" s="428"/>
    </row>
    <row r="286" spans="1:20" ht="10.8" customHeight="1">
      <c r="A286" s="1"/>
      <c r="B286" s="2"/>
      <c r="C286" s="428"/>
      <c r="D286" s="429"/>
      <c r="E286" s="428"/>
      <c r="F286" s="429"/>
      <c r="G286" s="428"/>
      <c r="H286" s="429"/>
      <c r="I286" s="428"/>
      <c r="J286" s="429"/>
      <c r="K286" s="428"/>
      <c r="L286" s="429"/>
      <c r="M286" s="428"/>
      <c r="N286" s="428"/>
      <c r="O286" s="428"/>
      <c r="P286" s="428"/>
      <c r="Q286" s="428"/>
      <c r="R286" s="428"/>
      <c r="S286" s="428"/>
      <c r="T286" s="428"/>
    </row>
    <row r="287" spans="1:20" ht="10.8" customHeight="1">
      <c r="A287" s="1"/>
      <c r="B287" s="2"/>
      <c r="C287" s="428"/>
      <c r="D287" s="429"/>
      <c r="E287" s="428"/>
      <c r="F287" s="429"/>
      <c r="G287" s="428"/>
      <c r="H287" s="429"/>
      <c r="I287" s="428"/>
      <c r="J287" s="429"/>
      <c r="K287" s="428"/>
      <c r="L287" s="429"/>
      <c r="M287" s="428"/>
      <c r="N287" s="428"/>
      <c r="O287" s="428"/>
      <c r="P287" s="428"/>
      <c r="Q287" s="428"/>
      <c r="R287" s="428"/>
      <c r="S287" s="428"/>
      <c r="T287" s="428"/>
    </row>
    <row r="288" spans="1:20" ht="10.8" customHeight="1">
      <c r="A288" s="1"/>
      <c r="B288" s="2"/>
      <c r="C288" s="428"/>
      <c r="D288" s="429"/>
      <c r="E288" s="428"/>
      <c r="F288" s="429"/>
      <c r="G288" s="428"/>
      <c r="H288" s="429"/>
      <c r="I288" s="428"/>
      <c r="J288" s="429"/>
      <c r="K288" s="428"/>
      <c r="L288" s="429"/>
      <c r="M288" s="428"/>
      <c r="N288" s="428"/>
      <c r="O288" s="428"/>
      <c r="P288" s="428"/>
      <c r="Q288" s="428"/>
      <c r="R288" s="428"/>
      <c r="S288" s="428"/>
      <c r="T288" s="428"/>
    </row>
    <row r="289" spans="1:21" ht="10.8" customHeight="1">
      <c r="A289" s="1"/>
      <c r="B289" s="2"/>
      <c r="C289" s="428"/>
      <c r="D289" s="429"/>
      <c r="E289" s="428"/>
      <c r="F289" s="429"/>
      <c r="G289" s="428"/>
      <c r="H289" s="429"/>
      <c r="I289" s="428"/>
      <c r="J289" s="429"/>
      <c r="K289" s="428"/>
      <c r="L289" s="429"/>
      <c r="M289" s="428"/>
      <c r="N289" s="428"/>
      <c r="O289" s="428"/>
      <c r="P289" s="428"/>
      <c r="Q289" s="428"/>
      <c r="R289" s="428"/>
      <c r="S289" s="428"/>
      <c r="T289" s="428"/>
    </row>
    <row r="290" spans="1:21" ht="10.8" customHeight="1">
      <c r="A290" s="1"/>
      <c r="B290" s="2"/>
      <c r="C290" s="428"/>
      <c r="D290" s="429"/>
      <c r="E290" s="428"/>
      <c r="F290" s="429"/>
      <c r="G290" s="428"/>
      <c r="H290" s="429"/>
      <c r="I290" s="428"/>
      <c r="J290" s="429"/>
      <c r="K290" s="428"/>
      <c r="L290" s="429"/>
      <c r="M290" s="428"/>
      <c r="N290" s="428"/>
      <c r="O290" s="428"/>
      <c r="P290" s="428"/>
      <c r="Q290" s="428"/>
      <c r="R290" s="428"/>
      <c r="S290" s="428"/>
      <c r="T290" s="428"/>
    </row>
    <row r="291" spans="1:21" ht="10.8" customHeight="1">
      <c r="A291" s="1"/>
      <c r="B291" s="2"/>
      <c r="C291" s="428"/>
      <c r="D291" s="429"/>
      <c r="E291" s="428"/>
      <c r="F291" s="429"/>
      <c r="G291" s="428"/>
      <c r="H291" s="429"/>
      <c r="I291" s="428"/>
      <c r="J291" s="429"/>
      <c r="K291" s="428"/>
      <c r="L291" s="429"/>
      <c r="M291" s="428"/>
      <c r="N291" s="428"/>
      <c r="O291" s="428"/>
      <c r="P291" s="428"/>
      <c r="Q291" s="428"/>
      <c r="R291" s="428"/>
      <c r="S291" s="428"/>
      <c r="T291" s="428"/>
    </row>
    <row r="292" spans="1:21" ht="10.8" customHeight="1">
      <c r="A292" s="1"/>
      <c r="B292" s="2"/>
      <c r="C292" s="428"/>
      <c r="D292" s="429"/>
      <c r="E292" s="428"/>
      <c r="F292" s="429"/>
      <c r="G292" s="428"/>
      <c r="H292" s="429"/>
      <c r="I292" s="428"/>
      <c r="J292" s="429"/>
      <c r="K292" s="428"/>
      <c r="L292" s="429"/>
      <c r="M292" s="428"/>
      <c r="N292" s="428"/>
      <c r="O292" s="428"/>
      <c r="P292" s="428"/>
      <c r="Q292" s="428"/>
      <c r="R292" s="428"/>
      <c r="S292" s="428"/>
      <c r="T292" s="428"/>
    </row>
    <row r="294" spans="1:21" ht="44.55" customHeight="1">
      <c r="A294" s="449" t="s">
        <v>241</v>
      </c>
      <c r="B294" s="449"/>
      <c r="C294" s="449"/>
      <c r="D294" s="449"/>
      <c r="E294" s="449"/>
      <c r="F294" s="449"/>
      <c r="G294" s="449"/>
      <c r="H294" s="449"/>
      <c r="I294" s="449"/>
      <c r="J294" s="449"/>
      <c r="K294" s="449"/>
      <c r="L294" s="449"/>
      <c r="M294" s="449"/>
      <c r="N294" s="449"/>
      <c r="O294" s="449"/>
      <c r="P294" s="449"/>
      <c r="Q294" s="449"/>
      <c r="R294" s="449"/>
      <c r="S294" s="449"/>
      <c r="T294" s="449"/>
      <c r="U294" s="449"/>
    </row>
    <row r="295" spans="1:21" ht="12.3" customHeight="1">
      <c r="A295" s="450" t="s">
        <v>69</v>
      </c>
      <c r="B295" s="451"/>
      <c r="C295" s="454" t="s">
        <v>14</v>
      </c>
      <c r="D295" s="455"/>
      <c r="E295" s="455"/>
      <c r="F295" s="455"/>
      <c r="G295" s="455"/>
      <c r="H295" s="455"/>
      <c r="I295" s="455"/>
      <c r="J295" s="455"/>
      <c r="K295" s="455"/>
      <c r="L295" s="455"/>
      <c r="M295" s="455"/>
      <c r="N295" s="455"/>
      <c r="O295" s="455"/>
      <c r="P295" s="455"/>
      <c r="Q295" s="455"/>
      <c r="R295" s="455"/>
      <c r="S295" s="455"/>
      <c r="T295" s="455"/>
    </row>
    <row r="296" spans="1:21" ht="9" customHeight="1">
      <c r="A296" s="452"/>
      <c r="B296" s="453"/>
      <c r="C296" s="33">
        <v>5</v>
      </c>
      <c r="D296" s="33">
        <v>6</v>
      </c>
      <c r="E296" s="33">
        <v>7</v>
      </c>
      <c r="F296" s="33">
        <v>8</v>
      </c>
      <c r="G296" s="33">
        <v>9</v>
      </c>
      <c r="H296" s="33">
        <v>10</v>
      </c>
      <c r="I296" s="33">
        <v>11</v>
      </c>
      <c r="J296" s="33">
        <v>12</v>
      </c>
      <c r="K296" s="33">
        <v>13</v>
      </c>
      <c r="L296" s="33">
        <v>14</v>
      </c>
      <c r="M296" s="156">
        <v>15</v>
      </c>
      <c r="N296" s="33">
        <v>16</v>
      </c>
      <c r="O296" s="33">
        <v>17</v>
      </c>
      <c r="P296" s="33">
        <v>18</v>
      </c>
      <c r="Q296" s="33">
        <v>19</v>
      </c>
      <c r="R296" s="33">
        <v>20</v>
      </c>
      <c r="S296" s="33">
        <v>21</v>
      </c>
      <c r="T296" s="34">
        <v>22</v>
      </c>
    </row>
    <row r="297" spans="1:21" ht="10.5" customHeight="1">
      <c r="A297" s="431">
        <v>22.4</v>
      </c>
      <c r="B297" s="184" t="s">
        <v>2</v>
      </c>
      <c r="C297" s="153" t="s">
        <v>1</v>
      </c>
      <c r="D297" s="85" t="s">
        <v>1</v>
      </c>
      <c r="E297" s="85" t="s">
        <v>1</v>
      </c>
      <c r="F297" s="85" t="s">
        <v>1</v>
      </c>
      <c r="G297" s="85" t="s">
        <v>1</v>
      </c>
      <c r="H297" s="85" t="s">
        <v>1</v>
      </c>
      <c r="I297" s="85" t="s">
        <v>1</v>
      </c>
      <c r="J297" s="85" t="s">
        <v>1</v>
      </c>
      <c r="K297" s="237">
        <v>175</v>
      </c>
      <c r="L297" s="85" t="s">
        <v>1</v>
      </c>
      <c r="M297" s="237">
        <v>147</v>
      </c>
      <c r="N297" s="85" t="s">
        <v>1</v>
      </c>
      <c r="O297" s="237">
        <v>224</v>
      </c>
      <c r="P297" s="85" t="s">
        <v>1</v>
      </c>
      <c r="Q297" s="85" t="s">
        <v>21</v>
      </c>
      <c r="R297" s="85" t="s">
        <v>1</v>
      </c>
      <c r="S297" s="85" t="s">
        <v>21</v>
      </c>
      <c r="T297" s="221" t="s">
        <v>1</v>
      </c>
    </row>
    <row r="298" spans="1:21" ht="9" customHeight="1">
      <c r="A298" s="432"/>
      <c r="B298" s="2" t="s">
        <v>3</v>
      </c>
      <c r="C298" s="154" t="s">
        <v>1</v>
      </c>
      <c r="D298" s="146" t="s">
        <v>1</v>
      </c>
      <c r="E298" s="146" t="s">
        <v>1</v>
      </c>
      <c r="F298" s="146" t="s">
        <v>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58">
        <v>359</v>
      </c>
      <c r="L298" s="146" t="s">
        <v>1</v>
      </c>
      <c r="M298" s="258">
        <v>473</v>
      </c>
      <c r="N298" s="146" t="s">
        <v>1</v>
      </c>
      <c r="O298" s="258">
        <v>564</v>
      </c>
      <c r="P298" s="146" t="s">
        <v>1</v>
      </c>
      <c r="Q298" s="146" t="s">
        <v>21</v>
      </c>
      <c r="R298" s="146" t="s">
        <v>1</v>
      </c>
      <c r="S298" s="146" t="s">
        <v>21</v>
      </c>
      <c r="T298" s="223" t="s">
        <v>1</v>
      </c>
    </row>
    <row r="299" spans="1:21" ht="9.3000000000000007" customHeight="1">
      <c r="A299" s="432"/>
      <c r="B299" s="2" t="s">
        <v>5</v>
      </c>
      <c r="C299" s="154" t="s">
        <v>1</v>
      </c>
      <c r="D299" s="146" t="s">
        <v>1</v>
      </c>
      <c r="E299" s="146" t="s">
        <v>1</v>
      </c>
      <c r="F299" s="146" t="s">
        <v>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58">
        <v>507</v>
      </c>
      <c r="L299" s="146" t="s">
        <v>1</v>
      </c>
      <c r="M299" s="258">
        <v>512</v>
      </c>
      <c r="N299" s="146" t="s">
        <v>1</v>
      </c>
      <c r="O299" s="258">
        <v>582</v>
      </c>
      <c r="P299" s="146" t="s">
        <v>1</v>
      </c>
      <c r="Q299" s="146" t="s">
        <v>21</v>
      </c>
      <c r="R299" s="146" t="s">
        <v>1</v>
      </c>
      <c r="S299" s="146" t="s">
        <v>21</v>
      </c>
      <c r="T299" s="223" t="s">
        <v>1</v>
      </c>
    </row>
    <row r="300" spans="1:21" ht="10.8" customHeight="1">
      <c r="A300" s="433"/>
      <c r="B300" s="185" t="s">
        <v>7</v>
      </c>
      <c r="C300" s="155" t="s">
        <v>1</v>
      </c>
      <c r="D300" s="149" t="s">
        <v>1</v>
      </c>
      <c r="E300" s="149" t="s">
        <v>1</v>
      </c>
      <c r="F300" s="149" t="s">
        <v>1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59">
        <v>669</v>
      </c>
      <c r="L300" s="149" t="s">
        <v>1</v>
      </c>
      <c r="M300" s="259">
        <v>805</v>
      </c>
      <c r="N300" s="149" t="s">
        <v>1</v>
      </c>
      <c r="O300" s="259">
        <v>885</v>
      </c>
      <c r="P300" s="149" t="s">
        <v>1</v>
      </c>
      <c r="Q300" s="149" t="s">
        <v>21</v>
      </c>
      <c r="R300" s="149" t="s">
        <v>1</v>
      </c>
      <c r="S300" s="149" t="s">
        <v>21</v>
      </c>
      <c r="T300" s="225" t="s">
        <v>1</v>
      </c>
    </row>
    <row r="301" spans="1:21" ht="10.5" customHeight="1">
      <c r="A301" s="83">
        <v>25</v>
      </c>
      <c r="B301" s="184" t="s">
        <v>2</v>
      </c>
      <c r="C301" s="318">
        <v>61.3</v>
      </c>
      <c r="D301" s="85" t="s">
        <v>1</v>
      </c>
      <c r="E301" s="262">
        <v>90</v>
      </c>
      <c r="F301" s="85" t="s">
        <v>1</v>
      </c>
      <c r="G301" s="237">
        <v>118</v>
      </c>
      <c r="H301" s="85" t="s">
        <v>1</v>
      </c>
      <c r="I301" s="237">
        <v>160</v>
      </c>
      <c r="J301" s="85" t="s">
        <v>1</v>
      </c>
      <c r="K301" s="237">
        <v>189</v>
      </c>
      <c r="L301" s="85" t="s">
        <v>1</v>
      </c>
      <c r="M301" s="237">
        <v>187</v>
      </c>
      <c r="N301" s="237">
        <v>164</v>
      </c>
      <c r="O301" s="237">
        <v>260</v>
      </c>
      <c r="P301" s="237">
        <v>247</v>
      </c>
      <c r="Q301" s="85" t="s">
        <v>21</v>
      </c>
      <c r="R301" s="85" t="s">
        <v>21</v>
      </c>
      <c r="S301" s="85" t="s">
        <v>21</v>
      </c>
      <c r="T301" s="221" t="s">
        <v>21</v>
      </c>
    </row>
    <row r="302" spans="1:21" ht="9" customHeight="1">
      <c r="A302" s="432"/>
      <c r="B302" s="2" t="s">
        <v>3</v>
      </c>
      <c r="C302" s="304">
        <v>113</v>
      </c>
      <c r="D302" s="146" t="s">
        <v>1</v>
      </c>
      <c r="E302" s="258">
        <v>175</v>
      </c>
      <c r="F302" s="146" t="s">
        <v>1</v>
      </c>
      <c r="G302" s="258">
        <v>234</v>
      </c>
      <c r="H302" s="146" t="s">
        <v>1</v>
      </c>
      <c r="I302" s="258">
        <v>341</v>
      </c>
      <c r="J302" s="146" t="s">
        <v>1</v>
      </c>
      <c r="K302" s="258">
        <v>365</v>
      </c>
      <c r="L302" s="146" t="s">
        <v>1</v>
      </c>
      <c r="M302" s="258">
        <v>498</v>
      </c>
      <c r="N302" s="258">
        <v>492</v>
      </c>
      <c r="O302" s="258">
        <v>583</v>
      </c>
      <c r="P302" s="258">
        <v>587</v>
      </c>
      <c r="Q302" s="258">
        <v>698</v>
      </c>
      <c r="R302" s="258">
        <v>677</v>
      </c>
      <c r="S302" s="146" t="s">
        <v>21</v>
      </c>
      <c r="T302" s="223" t="s">
        <v>21</v>
      </c>
    </row>
    <row r="303" spans="1:21" ht="9.3000000000000007" customHeight="1">
      <c r="A303" s="432"/>
      <c r="B303" s="2" t="s">
        <v>5</v>
      </c>
      <c r="C303" s="304">
        <v>161</v>
      </c>
      <c r="D303" s="146" t="s">
        <v>1</v>
      </c>
      <c r="E303" s="258">
        <v>228</v>
      </c>
      <c r="F303" s="146" t="s">
        <v>1</v>
      </c>
      <c r="G303" s="258">
        <v>262</v>
      </c>
      <c r="H303" s="146" t="s">
        <v>1</v>
      </c>
      <c r="I303" s="258">
        <v>458</v>
      </c>
      <c r="J303" s="146" t="s">
        <v>1</v>
      </c>
      <c r="K303" s="258">
        <v>506</v>
      </c>
      <c r="L303" s="146" t="s">
        <v>1</v>
      </c>
      <c r="M303" s="258">
        <v>534</v>
      </c>
      <c r="N303" s="258">
        <v>526</v>
      </c>
      <c r="O303" s="258">
        <v>600</v>
      </c>
      <c r="P303" s="258">
        <v>599</v>
      </c>
      <c r="Q303" s="146" t="s">
        <v>21</v>
      </c>
      <c r="R303" s="146" t="s">
        <v>21</v>
      </c>
      <c r="S303" s="146" t="s">
        <v>21</v>
      </c>
      <c r="T303" s="223" t="s">
        <v>21</v>
      </c>
    </row>
    <row r="304" spans="1:21" ht="10.8" customHeight="1">
      <c r="A304" s="433"/>
      <c r="B304" s="185" t="s">
        <v>7</v>
      </c>
      <c r="C304" s="307">
        <v>206</v>
      </c>
      <c r="D304" s="149" t="s">
        <v>1</v>
      </c>
      <c r="E304" s="259">
        <v>302</v>
      </c>
      <c r="F304" s="149" t="s">
        <v>1</v>
      </c>
      <c r="G304" s="259">
        <v>364</v>
      </c>
      <c r="H304" s="149" t="s">
        <v>1</v>
      </c>
      <c r="I304" s="259">
        <v>617</v>
      </c>
      <c r="J304" s="149" t="s">
        <v>1</v>
      </c>
      <c r="K304" s="259">
        <v>661</v>
      </c>
      <c r="L304" s="149" t="s">
        <v>1</v>
      </c>
      <c r="M304" s="259">
        <v>813</v>
      </c>
      <c r="N304" s="259">
        <v>822</v>
      </c>
      <c r="O304" s="259">
        <v>888</v>
      </c>
      <c r="P304" s="259">
        <v>904</v>
      </c>
      <c r="Q304" s="149" t="s">
        <v>21</v>
      </c>
      <c r="R304" s="149" t="s">
        <v>21</v>
      </c>
      <c r="S304" s="149" t="s">
        <v>21</v>
      </c>
      <c r="T304" s="225" t="s">
        <v>21</v>
      </c>
    </row>
    <row r="305" spans="1:20" ht="10.5" customHeight="1">
      <c r="A305" s="83">
        <v>28</v>
      </c>
      <c r="B305" s="184" t="s">
        <v>2</v>
      </c>
      <c r="C305" s="318">
        <v>59.7</v>
      </c>
      <c r="D305" s="85" t="s">
        <v>1</v>
      </c>
      <c r="E305" s="262">
        <v>91.3</v>
      </c>
      <c r="F305" s="85" t="s">
        <v>1</v>
      </c>
      <c r="G305" s="237">
        <v>120</v>
      </c>
      <c r="H305" s="85" t="s">
        <v>1</v>
      </c>
      <c r="I305" s="237">
        <v>161</v>
      </c>
      <c r="J305" s="85" t="s">
        <v>1</v>
      </c>
      <c r="K305" s="237">
        <v>194</v>
      </c>
      <c r="L305" s="237">
        <v>198</v>
      </c>
      <c r="M305" s="237">
        <v>202</v>
      </c>
      <c r="N305" s="237">
        <v>201</v>
      </c>
      <c r="O305" s="237">
        <v>271</v>
      </c>
      <c r="P305" s="237">
        <v>280</v>
      </c>
      <c r="Q305" s="237">
        <v>267</v>
      </c>
      <c r="R305" s="85" t="s">
        <v>21</v>
      </c>
      <c r="S305" s="85" t="s">
        <v>21</v>
      </c>
      <c r="T305" s="221" t="s">
        <v>21</v>
      </c>
    </row>
    <row r="306" spans="1:20" ht="9" customHeight="1">
      <c r="A306" s="432"/>
      <c r="B306" s="2" t="s">
        <v>3</v>
      </c>
      <c r="C306" s="304">
        <v>109</v>
      </c>
      <c r="D306" s="146" t="s">
        <v>1</v>
      </c>
      <c r="E306" s="258">
        <v>176</v>
      </c>
      <c r="F306" s="146" t="s">
        <v>1</v>
      </c>
      <c r="G306" s="258">
        <v>232</v>
      </c>
      <c r="H306" s="146" t="s">
        <v>1</v>
      </c>
      <c r="I306" s="258">
        <v>330</v>
      </c>
      <c r="J306" s="146" t="s">
        <v>1</v>
      </c>
      <c r="K306" s="258">
        <v>358</v>
      </c>
      <c r="L306" s="258">
        <v>388</v>
      </c>
      <c r="M306" s="258">
        <v>499</v>
      </c>
      <c r="N306" s="258">
        <v>514</v>
      </c>
      <c r="O306" s="258">
        <v>580</v>
      </c>
      <c r="P306" s="258">
        <v>605</v>
      </c>
      <c r="Q306" s="258">
        <v>715</v>
      </c>
      <c r="R306" s="258">
        <v>722</v>
      </c>
      <c r="S306" s="258">
        <v>736</v>
      </c>
      <c r="T306" s="223" t="s">
        <v>21</v>
      </c>
    </row>
    <row r="307" spans="1:20" ht="9.3000000000000007" customHeight="1">
      <c r="A307" s="432"/>
      <c r="B307" s="2" t="s">
        <v>5</v>
      </c>
      <c r="C307" s="304">
        <v>151</v>
      </c>
      <c r="D307" s="146" t="s">
        <v>1</v>
      </c>
      <c r="E307" s="258">
        <v>229</v>
      </c>
      <c r="F307" s="146" t="s">
        <v>1</v>
      </c>
      <c r="G307" s="258">
        <v>259</v>
      </c>
      <c r="H307" s="146" t="s">
        <v>1</v>
      </c>
      <c r="I307" s="258">
        <v>441</v>
      </c>
      <c r="J307" s="146" t="s">
        <v>1</v>
      </c>
      <c r="K307" s="258">
        <v>492</v>
      </c>
      <c r="L307" s="258">
        <v>533</v>
      </c>
      <c r="M307" s="258">
        <v>535</v>
      </c>
      <c r="N307" s="258">
        <v>548</v>
      </c>
      <c r="O307" s="258">
        <v>595</v>
      </c>
      <c r="P307" s="258">
        <v>615</v>
      </c>
      <c r="Q307" s="146" t="s">
        <v>21</v>
      </c>
      <c r="R307" s="146" t="s">
        <v>21</v>
      </c>
      <c r="S307" s="146" t="s">
        <v>21</v>
      </c>
      <c r="T307" s="223" t="s">
        <v>21</v>
      </c>
    </row>
    <row r="308" spans="1:20" ht="10.8" customHeight="1">
      <c r="A308" s="433"/>
      <c r="B308" s="185" t="s">
        <v>7</v>
      </c>
      <c r="C308" s="307">
        <v>195</v>
      </c>
      <c r="D308" s="149" t="s">
        <v>1</v>
      </c>
      <c r="E308" s="259">
        <v>303</v>
      </c>
      <c r="F308" s="149" t="s">
        <v>1</v>
      </c>
      <c r="G308" s="259">
        <v>360</v>
      </c>
      <c r="H308" s="149" t="s">
        <v>1</v>
      </c>
      <c r="I308" s="259">
        <v>591</v>
      </c>
      <c r="J308" s="149" t="s">
        <v>1</v>
      </c>
      <c r="K308" s="259">
        <v>638</v>
      </c>
      <c r="L308" s="259">
        <v>700</v>
      </c>
      <c r="M308" s="259">
        <v>799</v>
      </c>
      <c r="N308" s="259">
        <v>829</v>
      </c>
      <c r="O308" s="259">
        <v>870</v>
      </c>
      <c r="P308" s="259">
        <v>905</v>
      </c>
      <c r="Q308" s="149" t="s">
        <v>21</v>
      </c>
      <c r="R308" s="149" t="s">
        <v>21</v>
      </c>
      <c r="S308" s="149" t="s">
        <v>21</v>
      </c>
      <c r="T308" s="225" t="s">
        <v>21</v>
      </c>
    </row>
    <row r="309" spans="1:20" ht="10.5" customHeight="1">
      <c r="A309" s="431">
        <v>31.5</v>
      </c>
      <c r="B309" s="184" t="s">
        <v>2</v>
      </c>
      <c r="C309" s="318">
        <v>58.4</v>
      </c>
      <c r="D309" s="262">
        <v>66.8</v>
      </c>
      <c r="E309" s="262">
        <v>89.3</v>
      </c>
      <c r="F309" s="262">
        <v>97.9</v>
      </c>
      <c r="G309" s="237">
        <v>118</v>
      </c>
      <c r="H309" s="237">
        <v>121</v>
      </c>
      <c r="I309" s="237">
        <v>159</v>
      </c>
      <c r="J309" s="237">
        <v>185</v>
      </c>
      <c r="K309" s="237">
        <v>198</v>
      </c>
      <c r="L309" s="237">
        <v>211</v>
      </c>
      <c r="M309" s="237">
        <v>213</v>
      </c>
      <c r="N309" s="237">
        <v>215</v>
      </c>
      <c r="O309" s="237">
        <v>281</v>
      </c>
      <c r="P309" s="237">
        <v>289</v>
      </c>
      <c r="Q309" s="237">
        <v>297</v>
      </c>
      <c r="R309" s="237">
        <v>291</v>
      </c>
      <c r="S309" s="85" t="s">
        <v>21</v>
      </c>
      <c r="T309" s="221" t="s">
        <v>21</v>
      </c>
    </row>
    <row r="310" spans="1:20" ht="9" customHeight="1">
      <c r="A310" s="432"/>
      <c r="B310" s="2" t="s">
        <v>3</v>
      </c>
      <c r="C310" s="304">
        <v>106</v>
      </c>
      <c r="D310" s="258">
        <v>120</v>
      </c>
      <c r="E310" s="258">
        <v>170</v>
      </c>
      <c r="F310" s="258">
        <v>185</v>
      </c>
      <c r="G310" s="258">
        <v>226</v>
      </c>
      <c r="H310" s="258">
        <v>233</v>
      </c>
      <c r="I310" s="258">
        <v>321</v>
      </c>
      <c r="J310" s="258">
        <v>374</v>
      </c>
      <c r="K310" s="258">
        <v>355</v>
      </c>
      <c r="L310" s="258">
        <v>393</v>
      </c>
      <c r="M310" s="258">
        <v>499</v>
      </c>
      <c r="N310" s="258">
        <v>516</v>
      </c>
      <c r="O310" s="258">
        <v>575</v>
      </c>
      <c r="P310" s="258">
        <v>599</v>
      </c>
      <c r="Q310" s="258">
        <v>724</v>
      </c>
      <c r="R310" s="258">
        <v>739</v>
      </c>
      <c r="S310" s="258">
        <v>789</v>
      </c>
      <c r="T310" s="223" t="s">
        <v>21</v>
      </c>
    </row>
    <row r="311" spans="1:20" ht="9.3000000000000007" customHeight="1">
      <c r="A311" s="432"/>
      <c r="B311" s="2" t="s">
        <v>5</v>
      </c>
      <c r="C311" s="304">
        <v>145</v>
      </c>
      <c r="D311" s="258">
        <v>164</v>
      </c>
      <c r="E311" s="258">
        <v>220</v>
      </c>
      <c r="F311" s="258">
        <v>233</v>
      </c>
      <c r="G311" s="258">
        <v>252</v>
      </c>
      <c r="H311" s="258">
        <v>258</v>
      </c>
      <c r="I311" s="258">
        <v>429</v>
      </c>
      <c r="J311" s="258">
        <v>490</v>
      </c>
      <c r="K311" s="258">
        <v>484</v>
      </c>
      <c r="L311" s="258">
        <v>531</v>
      </c>
      <c r="M311" s="258">
        <v>533</v>
      </c>
      <c r="N311" s="258">
        <v>546</v>
      </c>
      <c r="O311" s="258">
        <v>591</v>
      </c>
      <c r="P311" s="258">
        <v>608</v>
      </c>
      <c r="Q311" s="146" t="s">
        <v>21</v>
      </c>
      <c r="R311" s="146" t="s">
        <v>21</v>
      </c>
      <c r="S311" s="146" t="s">
        <v>21</v>
      </c>
      <c r="T311" s="223" t="s">
        <v>21</v>
      </c>
    </row>
    <row r="312" spans="1:20" ht="10.8" customHeight="1">
      <c r="A312" s="433"/>
      <c r="B312" s="185" t="s">
        <v>7</v>
      </c>
      <c r="C312" s="307">
        <v>187</v>
      </c>
      <c r="D312" s="259">
        <v>211</v>
      </c>
      <c r="E312" s="259">
        <v>291</v>
      </c>
      <c r="F312" s="259">
        <v>310</v>
      </c>
      <c r="G312" s="259">
        <v>349</v>
      </c>
      <c r="H312" s="259">
        <v>357</v>
      </c>
      <c r="I312" s="259">
        <v>572</v>
      </c>
      <c r="J312" s="259">
        <v>658</v>
      </c>
      <c r="K312" s="259">
        <v>625</v>
      </c>
      <c r="L312" s="259">
        <v>692</v>
      </c>
      <c r="M312" s="259">
        <v>789</v>
      </c>
      <c r="N312" s="259">
        <v>815</v>
      </c>
      <c r="O312" s="259">
        <v>855</v>
      </c>
      <c r="P312" s="259">
        <v>885</v>
      </c>
      <c r="Q312" s="149" t="s">
        <v>21</v>
      </c>
      <c r="R312" s="149" t="s">
        <v>21</v>
      </c>
      <c r="S312" s="149" t="s">
        <v>21</v>
      </c>
      <c r="T312" s="225" t="s">
        <v>21</v>
      </c>
    </row>
    <row r="313" spans="1:20" ht="10.5" customHeight="1">
      <c r="A313" s="431">
        <v>35.5</v>
      </c>
      <c r="B313" s="184" t="s">
        <v>2</v>
      </c>
      <c r="C313" s="318">
        <v>56.9</v>
      </c>
      <c r="D313" s="262">
        <v>64.900000000000006</v>
      </c>
      <c r="E313" s="262">
        <v>87.3</v>
      </c>
      <c r="F313" s="262">
        <v>99.3</v>
      </c>
      <c r="G313" s="237">
        <v>116</v>
      </c>
      <c r="H313" s="237">
        <v>122</v>
      </c>
      <c r="I313" s="237">
        <v>157</v>
      </c>
      <c r="J313" s="237">
        <v>183</v>
      </c>
      <c r="K313" s="237">
        <v>198</v>
      </c>
      <c r="L313" s="237">
        <v>215</v>
      </c>
      <c r="M313" s="237">
        <v>225</v>
      </c>
      <c r="N313" s="237">
        <v>226</v>
      </c>
      <c r="O313" s="237">
        <v>287</v>
      </c>
      <c r="P313" s="237">
        <v>298</v>
      </c>
      <c r="Q313" s="237">
        <v>317</v>
      </c>
      <c r="R313" s="237">
        <v>319</v>
      </c>
      <c r="S313" s="237">
        <v>269</v>
      </c>
      <c r="T313" s="221" t="s">
        <v>21</v>
      </c>
    </row>
    <row r="314" spans="1:20" ht="9" customHeight="1">
      <c r="A314" s="432"/>
      <c r="B314" s="2" t="s">
        <v>3</v>
      </c>
      <c r="C314" s="304">
        <v>103</v>
      </c>
      <c r="D314" s="258">
        <v>116</v>
      </c>
      <c r="E314" s="258">
        <v>165</v>
      </c>
      <c r="F314" s="258">
        <v>186</v>
      </c>
      <c r="G314" s="258">
        <v>219</v>
      </c>
      <c r="H314" s="258">
        <v>231</v>
      </c>
      <c r="I314" s="258">
        <v>312</v>
      </c>
      <c r="J314" s="258">
        <v>361</v>
      </c>
      <c r="K314" s="258">
        <v>348</v>
      </c>
      <c r="L314" s="258">
        <v>384</v>
      </c>
      <c r="M314" s="258">
        <v>490</v>
      </c>
      <c r="N314" s="258">
        <v>514</v>
      </c>
      <c r="O314" s="258">
        <v>558</v>
      </c>
      <c r="P314" s="258">
        <v>593</v>
      </c>
      <c r="Q314" s="258">
        <v>725</v>
      </c>
      <c r="R314" s="258">
        <v>746</v>
      </c>
      <c r="S314" s="258">
        <v>822</v>
      </c>
      <c r="T314" s="223" t="s">
        <v>21</v>
      </c>
    </row>
    <row r="315" spans="1:20" ht="9.3000000000000007" customHeight="1">
      <c r="A315" s="432"/>
      <c r="B315" s="2" t="s">
        <v>5</v>
      </c>
      <c r="C315" s="304">
        <v>139</v>
      </c>
      <c r="D315" s="258">
        <v>155</v>
      </c>
      <c r="E315" s="258">
        <v>214</v>
      </c>
      <c r="F315" s="258">
        <v>234</v>
      </c>
      <c r="G315" s="258">
        <v>245</v>
      </c>
      <c r="H315" s="258">
        <v>255</v>
      </c>
      <c r="I315" s="258">
        <v>417</v>
      </c>
      <c r="J315" s="258">
        <v>470</v>
      </c>
      <c r="K315" s="258">
        <v>474</v>
      </c>
      <c r="L315" s="258">
        <v>515</v>
      </c>
      <c r="M315" s="258">
        <v>524</v>
      </c>
      <c r="N315" s="258">
        <v>545</v>
      </c>
      <c r="O315" s="258">
        <v>577</v>
      </c>
      <c r="P315" s="258">
        <v>604</v>
      </c>
      <c r="Q315" s="146" t="s">
        <v>21</v>
      </c>
      <c r="R315" s="146" t="s">
        <v>21</v>
      </c>
      <c r="S315" s="146" t="s">
        <v>21</v>
      </c>
      <c r="T315" s="223" t="s">
        <v>21</v>
      </c>
    </row>
    <row r="316" spans="1:20" ht="10.8" customHeight="1">
      <c r="A316" s="433"/>
      <c r="B316" s="185" t="s">
        <v>7</v>
      </c>
      <c r="C316" s="307">
        <v>179</v>
      </c>
      <c r="D316" s="259">
        <v>200</v>
      </c>
      <c r="E316" s="259">
        <v>282</v>
      </c>
      <c r="F316" s="259">
        <v>311</v>
      </c>
      <c r="G316" s="259">
        <v>339</v>
      </c>
      <c r="H316" s="259">
        <v>352</v>
      </c>
      <c r="I316" s="259">
        <v>554</v>
      </c>
      <c r="J316" s="259">
        <v>628</v>
      </c>
      <c r="K316" s="259">
        <v>608</v>
      </c>
      <c r="L316" s="259">
        <v>666</v>
      </c>
      <c r="M316" s="259">
        <v>763</v>
      </c>
      <c r="N316" s="259">
        <v>803</v>
      </c>
      <c r="O316" s="259">
        <v>824</v>
      </c>
      <c r="P316" s="259">
        <v>869</v>
      </c>
      <c r="Q316" s="149" t="s">
        <v>21</v>
      </c>
      <c r="R316" s="149" t="s">
        <v>21</v>
      </c>
      <c r="S316" s="149" t="s">
        <v>21</v>
      </c>
      <c r="T316" s="225" t="s">
        <v>21</v>
      </c>
    </row>
    <row r="317" spans="1:20" ht="10.5" customHeight="1">
      <c r="A317" s="83">
        <v>40</v>
      </c>
      <c r="B317" s="184" t="s">
        <v>2</v>
      </c>
      <c r="C317" s="318">
        <v>54.3</v>
      </c>
      <c r="D317" s="262">
        <v>63.5</v>
      </c>
      <c r="E317" s="262">
        <v>84</v>
      </c>
      <c r="F317" s="262">
        <v>96.7</v>
      </c>
      <c r="G317" s="237">
        <v>111</v>
      </c>
      <c r="H317" s="237">
        <v>121</v>
      </c>
      <c r="I317" s="237">
        <v>154</v>
      </c>
      <c r="J317" s="237">
        <v>181</v>
      </c>
      <c r="K317" s="237">
        <v>197</v>
      </c>
      <c r="L317" s="237">
        <v>218</v>
      </c>
      <c r="M317" s="237">
        <v>229</v>
      </c>
      <c r="N317" s="237">
        <v>237</v>
      </c>
      <c r="O317" s="237">
        <v>289</v>
      </c>
      <c r="P317" s="237">
        <v>303</v>
      </c>
      <c r="Q317" s="237">
        <v>332</v>
      </c>
      <c r="R317" s="237">
        <v>338</v>
      </c>
      <c r="S317" s="237">
        <v>319</v>
      </c>
      <c r="T317" s="316">
        <v>293</v>
      </c>
    </row>
    <row r="318" spans="1:20" ht="9" customHeight="1">
      <c r="A318" s="1"/>
      <c r="B318" s="2" t="s">
        <v>3</v>
      </c>
      <c r="C318" s="319">
        <v>97.1</v>
      </c>
      <c r="D318" s="258">
        <v>113</v>
      </c>
      <c r="E318" s="258">
        <v>156</v>
      </c>
      <c r="F318" s="258">
        <v>179</v>
      </c>
      <c r="G318" s="258">
        <v>207</v>
      </c>
      <c r="H318" s="258">
        <v>224</v>
      </c>
      <c r="I318" s="258">
        <v>301</v>
      </c>
      <c r="J318" s="258">
        <v>351</v>
      </c>
      <c r="K318" s="258">
        <v>340</v>
      </c>
      <c r="L318" s="258">
        <v>380</v>
      </c>
      <c r="M318" s="258">
        <v>480</v>
      </c>
      <c r="N318" s="258">
        <v>504</v>
      </c>
      <c r="O318" s="258">
        <v>546</v>
      </c>
      <c r="P318" s="258">
        <v>575</v>
      </c>
      <c r="Q318" s="258">
        <v>714</v>
      </c>
      <c r="R318" s="258">
        <v>743</v>
      </c>
      <c r="S318" s="258">
        <v>843</v>
      </c>
      <c r="T318" s="310">
        <v>839</v>
      </c>
    </row>
    <row r="319" spans="1:20" ht="9.3000000000000007" customHeight="1">
      <c r="A319" s="1"/>
      <c r="B319" s="2" t="s">
        <v>5</v>
      </c>
      <c r="C319" s="304">
        <v>128</v>
      </c>
      <c r="D319" s="258">
        <v>148</v>
      </c>
      <c r="E319" s="258">
        <v>204</v>
      </c>
      <c r="F319" s="258">
        <v>226</v>
      </c>
      <c r="G319" s="258">
        <v>234</v>
      </c>
      <c r="H319" s="258">
        <v>248</v>
      </c>
      <c r="I319" s="258">
        <v>403</v>
      </c>
      <c r="J319" s="258">
        <v>457</v>
      </c>
      <c r="K319" s="258">
        <v>461</v>
      </c>
      <c r="L319" s="258">
        <v>506</v>
      </c>
      <c r="M319" s="258">
        <v>515</v>
      </c>
      <c r="N319" s="258">
        <v>534</v>
      </c>
      <c r="O319" s="258">
        <v>564</v>
      </c>
      <c r="P319" s="258">
        <v>589</v>
      </c>
      <c r="Q319" s="146" t="s">
        <v>21</v>
      </c>
      <c r="R319" s="146" t="s">
        <v>21</v>
      </c>
      <c r="S319" s="146" t="s">
        <v>21</v>
      </c>
      <c r="T319" s="223" t="s">
        <v>21</v>
      </c>
    </row>
    <row r="320" spans="1:20" ht="10.8" customHeight="1">
      <c r="A320" s="45"/>
      <c r="B320" s="185" t="s">
        <v>7</v>
      </c>
      <c r="C320" s="307">
        <v>166</v>
      </c>
      <c r="D320" s="259">
        <v>192</v>
      </c>
      <c r="E320" s="259">
        <v>268</v>
      </c>
      <c r="F320" s="259">
        <v>299</v>
      </c>
      <c r="G320" s="259">
        <v>321</v>
      </c>
      <c r="H320" s="259">
        <v>342</v>
      </c>
      <c r="I320" s="259">
        <v>534</v>
      </c>
      <c r="J320" s="259">
        <v>609</v>
      </c>
      <c r="K320" s="259">
        <v>590</v>
      </c>
      <c r="L320" s="259">
        <v>652</v>
      </c>
      <c r="M320" s="259">
        <v>743</v>
      </c>
      <c r="N320" s="259">
        <v>777</v>
      </c>
      <c r="O320" s="259">
        <v>799</v>
      </c>
      <c r="P320" s="259">
        <v>837</v>
      </c>
      <c r="Q320" s="149" t="s">
        <v>21</v>
      </c>
      <c r="R320" s="149" t="s">
        <v>21</v>
      </c>
      <c r="S320" s="149" t="s">
        <v>21</v>
      </c>
      <c r="T320" s="225" t="s">
        <v>21</v>
      </c>
    </row>
    <row r="321" spans="1:20" ht="10.5" customHeight="1">
      <c r="A321" s="83">
        <v>45</v>
      </c>
      <c r="B321" s="184" t="s">
        <v>2</v>
      </c>
      <c r="C321" s="318">
        <v>52.3</v>
      </c>
      <c r="D321" s="262">
        <v>61.8</v>
      </c>
      <c r="E321" s="262">
        <v>81.5</v>
      </c>
      <c r="F321" s="262">
        <v>94.4</v>
      </c>
      <c r="G321" s="237">
        <v>107</v>
      </c>
      <c r="H321" s="237">
        <v>118</v>
      </c>
      <c r="I321" s="237">
        <v>154</v>
      </c>
      <c r="J321" s="237">
        <v>178</v>
      </c>
      <c r="K321" s="237">
        <v>194</v>
      </c>
      <c r="L321" s="237">
        <v>217</v>
      </c>
      <c r="M321" s="237">
        <v>236</v>
      </c>
      <c r="N321" s="237">
        <v>241</v>
      </c>
      <c r="O321" s="237">
        <v>293</v>
      </c>
      <c r="P321" s="237">
        <v>303</v>
      </c>
      <c r="Q321" s="237">
        <v>344</v>
      </c>
      <c r="R321" s="237">
        <v>350</v>
      </c>
      <c r="S321" s="237">
        <v>356</v>
      </c>
      <c r="T321" s="316">
        <v>340</v>
      </c>
    </row>
    <row r="322" spans="1:20" ht="9" customHeight="1">
      <c r="A322" s="1"/>
      <c r="B322" s="2" t="s">
        <v>3</v>
      </c>
      <c r="C322" s="319">
        <v>93.1</v>
      </c>
      <c r="D322" s="258">
        <v>109</v>
      </c>
      <c r="E322" s="258">
        <v>151</v>
      </c>
      <c r="F322" s="258">
        <v>174</v>
      </c>
      <c r="G322" s="258">
        <v>199</v>
      </c>
      <c r="H322" s="258">
        <v>218</v>
      </c>
      <c r="I322" s="258">
        <v>298</v>
      </c>
      <c r="J322" s="258">
        <v>341</v>
      </c>
      <c r="K322" s="258">
        <v>329</v>
      </c>
      <c r="L322" s="258">
        <v>372</v>
      </c>
      <c r="M322" s="258">
        <v>480</v>
      </c>
      <c r="N322" s="258">
        <v>494</v>
      </c>
      <c r="O322" s="258">
        <v>543</v>
      </c>
      <c r="P322" s="258">
        <v>561</v>
      </c>
      <c r="Q322" s="258">
        <v>714</v>
      </c>
      <c r="R322" s="258">
        <v>733</v>
      </c>
      <c r="S322" s="258">
        <v>849</v>
      </c>
      <c r="T322" s="310">
        <v>859</v>
      </c>
    </row>
    <row r="323" spans="1:20" ht="9.3000000000000007" customHeight="1">
      <c r="A323" s="1"/>
      <c r="B323" s="2" t="s">
        <v>5</v>
      </c>
      <c r="C323" s="304">
        <v>121</v>
      </c>
      <c r="D323" s="258">
        <v>142</v>
      </c>
      <c r="E323" s="258">
        <v>197</v>
      </c>
      <c r="F323" s="258">
        <v>219</v>
      </c>
      <c r="G323" s="258">
        <v>225</v>
      </c>
      <c r="H323" s="258">
        <v>241</v>
      </c>
      <c r="I323" s="258">
        <v>401</v>
      </c>
      <c r="J323" s="258">
        <v>444</v>
      </c>
      <c r="K323" s="258">
        <v>447</v>
      </c>
      <c r="L323" s="258">
        <v>495</v>
      </c>
      <c r="M323" s="258">
        <v>516</v>
      </c>
      <c r="N323" s="258">
        <v>526</v>
      </c>
      <c r="O323" s="258">
        <v>563</v>
      </c>
      <c r="P323" s="258">
        <v>576</v>
      </c>
      <c r="Q323" s="146" t="s">
        <v>21</v>
      </c>
      <c r="R323" s="146" t="s">
        <v>21</v>
      </c>
      <c r="S323" s="146" t="s">
        <v>21</v>
      </c>
      <c r="T323" s="223" t="s">
        <v>21</v>
      </c>
    </row>
    <row r="324" spans="1:20" ht="10.8" customHeight="1">
      <c r="A324" s="45"/>
      <c r="B324" s="185" t="s">
        <v>7</v>
      </c>
      <c r="C324" s="307">
        <v>158</v>
      </c>
      <c r="D324" s="259">
        <v>184</v>
      </c>
      <c r="E324" s="259">
        <v>258</v>
      </c>
      <c r="F324" s="259">
        <v>289</v>
      </c>
      <c r="G324" s="259">
        <v>308</v>
      </c>
      <c r="H324" s="259">
        <v>331</v>
      </c>
      <c r="I324" s="259">
        <v>529</v>
      </c>
      <c r="J324" s="259">
        <v>589</v>
      </c>
      <c r="K324" s="259">
        <v>569</v>
      </c>
      <c r="L324" s="259">
        <v>635</v>
      </c>
      <c r="M324" s="259">
        <v>739</v>
      </c>
      <c r="N324" s="259">
        <v>756</v>
      </c>
      <c r="O324" s="259">
        <v>793</v>
      </c>
      <c r="P324" s="259">
        <v>813</v>
      </c>
      <c r="Q324" s="149" t="s">
        <v>21</v>
      </c>
      <c r="R324" s="149" t="s">
        <v>21</v>
      </c>
      <c r="S324" s="149" t="s">
        <v>21</v>
      </c>
      <c r="T324" s="225" t="s">
        <v>21</v>
      </c>
    </row>
    <row r="325" spans="1:20" ht="10.5" customHeight="1">
      <c r="A325" s="83">
        <v>50</v>
      </c>
      <c r="B325" s="184" t="s">
        <v>2</v>
      </c>
      <c r="C325" s="318">
        <v>51.4</v>
      </c>
      <c r="D325" s="262">
        <v>58.9</v>
      </c>
      <c r="E325" s="262">
        <v>78.8</v>
      </c>
      <c r="F325" s="262">
        <v>90.8</v>
      </c>
      <c r="G325" s="237">
        <v>109</v>
      </c>
      <c r="H325" s="237">
        <v>113</v>
      </c>
      <c r="I325" s="237">
        <v>158</v>
      </c>
      <c r="J325" s="237">
        <v>174</v>
      </c>
      <c r="K325" s="237">
        <v>205</v>
      </c>
      <c r="L325" s="237">
        <v>215</v>
      </c>
      <c r="M325" s="237">
        <v>269</v>
      </c>
      <c r="N325" s="237">
        <v>247</v>
      </c>
      <c r="O325" s="237">
        <v>313</v>
      </c>
      <c r="P325" s="237">
        <v>306</v>
      </c>
      <c r="Q325" s="237">
        <v>398</v>
      </c>
      <c r="R325" s="237">
        <v>362</v>
      </c>
      <c r="S325" s="237">
        <v>420</v>
      </c>
      <c r="T325" s="316">
        <v>374</v>
      </c>
    </row>
    <row r="326" spans="1:20" ht="9" customHeight="1">
      <c r="A326" s="1"/>
      <c r="B326" s="2" t="s">
        <v>3</v>
      </c>
      <c r="C326" s="319">
        <v>90.2</v>
      </c>
      <c r="D326" s="258">
        <v>103</v>
      </c>
      <c r="E326" s="258">
        <v>143</v>
      </c>
      <c r="F326" s="258">
        <v>165</v>
      </c>
      <c r="G326" s="258">
        <v>197</v>
      </c>
      <c r="H326" s="258">
        <v>206</v>
      </c>
      <c r="I326" s="258">
        <v>296</v>
      </c>
      <c r="J326" s="258">
        <v>329</v>
      </c>
      <c r="K326" s="258">
        <v>333</v>
      </c>
      <c r="L326" s="258">
        <v>362</v>
      </c>
      <c r="M326" s="258">
        <v>500</v>
      </c>
      <c r="N326" s="258">
        <v>494</v>
      </c>
      <c r="O326" s="258">
        <v>551</v>
      </c>
      <c r="P326" s="258">
        <v>559</v>
      </c>
      <c r="Q326" s="258">
        <v>736</v>
      </c>
      <c r="R326" s="258">
        <v>731</v>
      </c>
      <c r="S326" s="258">
        <v>888</v>
      </c>
      <c r="T326" s="310">
        <v>863</v>
      </c>
    </row>
    <row r="327" spans="1:20" ht="9.3000000000000007" customHeight="1">
      <c r="A327" s="1"/>
      <c r="B327" s="2" t="s">
        <v>5</v>
      </c>
      <c r="C327" s="304">
        <v>118</v>
      </c>
      <c r="D327" s="258">
        <v>131</v>
      </c>
      <c r="E327" s="258">
        <v>188</v>
      </c>
      <c r="F327" s="258">
        <v>209</v>
      </c>
      <c r="G327" s="258">
        <v>223</v>
      </c>
      <c r="H327" s="258">
        <v>229</v>
      </c>
      <c r="I327" s="258">
        <v>396</v>
      </c>
      <c r="J327" s="258">
        <v>429</v>
      </c>
      <c r="K327" s="258">
        <v>447</v>
      </c>
      <c r="L327" s="258">
        <v>482</v>
      </c>
      <c r="M327" s="258">
        <v>536</v>
      </c>
      <c r="N327" s="258">
        <v>526</v>
      </c>
      <c r="O327" s="258">
        <v>572</v>
      </c>
      <c r="P327" s="258">
        <v>574</v>
      </c>
      <c r="Q327" s="146" t="s">
        <v>21</v>
      </c>
      <c r="R327" s="146" t="s">
        <v>21</v>
      </c>
      <c r="S327" s="146" t="s">
        <v>21</v>
      </c>
      <c r="T327" s="223" t="s">
        <v>21</v>
      </c>
    </row>
    <row r="328" spans="1:20" ht="10.8" customHeight="1">
      <c r="A328" s="45"/>
      <c r="B328" s="185" t="s">
        <v>7</v>
      </c>
      <c r="C328" s="307">
        <v>153</v>
      </c>
      <c r="D328" s="259">
        <v>171</v>
      </c>
      <c r="E328" s="259">
        <v>245</v>
      </c>
      <c r="F328" s="259">
        <v>275</v>
      </c>
      <c r="G328" s="259">
        <v>303</v>
      </c>
      <c r="H328" s="259">
        <v>315</v>
      </c>
      <c r="I328" s="259">
        <v>518</v>
      </c>
      <c r="J328" s="259">
        <v>567</v>
      </c>
      <c r="K328" s="259">
        <v>562</v>
      </c>
      <c r="L328" s="259">
        <v>615</v>
      </c>
      <c r="M328" s="259">
        <v>749</v>
      </c>
      <c r="N328" s="259">
        <v>752</v>
      </c>
      <c r="O328" s="259">
        <v>791</v>
      </c>
      <c r="P328" s="259">
        <v>805</v>
      </c>
      <c r="Q328" s="149" t="s">
        <v>21</v>
      </c>
      <c r="R328" s="149" t="s">
        <v>21</v>
      </c>
      <c r="S328" s="149" t="s">
        <v>21</v>
      </c>
      <c r="T328" s="225" t="s">
        <v>21</v>
      </c>
    </row>
    <row r="329" spans="1:20" ht="10.5" customHeight="1">
      <c r="A329" s="83">
        <v>56</v>
      </c>
      <c r="B329" s="184" t="s">
        <v>2</v>
      </c>
      <c r="C329" s="318">
        <v>49.1</v>
      </c>
      <c r="D329" s="262">
        <v>56.7</v>
      </c>
      <c r="E329" s="262">
        <v>75.5</v>
      </c>
      <c r="F329" s="262">
        <v>88</v>
      </c>
      <c r="G329" s="237">
        <v>105</v>
      </c>
      <c r="H329" s="237">
        <v>109</v>
      </c>
      <c r="I329" s="237">
        <v>150</v>
      </c>
      <c r="J329" s="237">
        <v>174</v>
      </c>
      <c r="K329" s="237">
        <v>201</v>
      </c>
      <c r="L329" s="237">
        <v>211</v>
      </c>
      <c r="M329" s="237">
        <v>265</v>
      </c>
      <c r="N329" s="237">
        <v>279</v>
      </c>
      <c r="O329" s="237">
        <v>306</v>
      </c>
      <c r="P329" s="237">
        <v>326</v>
      </c>
      <c r="Q329" s="237">
        <v>396</v>
      </c>
      <c r="R329" s="237">
        <v>413</v>
      </c>
      <c r="S329" s="237">
        <v>434</v>
      </c>
      <c r="T329" s="316">
        <v>436</v>
      </c>
    </row>
    <row r="330" spans="1:20" ht="9" customHeight="1">
      <c r="A330" s="1"/>
      <c r="B330" s="2" t="s">
        <v>3</v>
      </c>
      <c r="C330" s="319">
        <v>85.6</v>
      </c>
      <c r="D330" s="320">
        <v>98.8</v>
      </c>
      <c r="E330" s="258">
        <v>136</v>
      </c>
      <c r="F330" s="258">
        <v>159</v>
      </c>
      <c r="G330" s="258">
        <v>188</v>
      </c>
      <c r="H330" s="258">
        <v>198</v>
      </c>
      <c r="I330" s="258">
        <v>277</v>
      </c>
      <c r="J330" s="258">
        <v>326</v>
      </c>
      <c r="K330" s="258">
        <v>324</v>
      </c>
      <c r="L330" s="258">
        <v>351</v>
      </c>
      <c r="M330" s="258">
        <v>483</v>
      </c>
      <c r="N330" s="258">
        <v>513</v>
      </c>
      <c r="O330" s="258">
        <v>531</v>
      </c>
      <c r="P330" s="258">
        <v>565</v>
      </c>
      <c r="Q330" s="258">
        <v>715</v>
      </c>
      <c r="R330" s="258">
        <v>752</v>
      </c>
      <c r="S330" s="258">
        <v>869</v>
      </c>
      <c r="T330" s="310">
        <v>900</v>
      </c>
    </row>
    <row r="331" spans="1:20" ht="9.3000000000000007" customHeight="1">
      <c r="A331" s="1"/>
      <c r="B331" s="2" t="s">
        <v>5</v>
      </c>
      <c r="C331" s="304">
        <v>110</v>
      </c>
      <c r="D331" s="258">
        <v>124</v>
      </c>
      <c r="E331" s="258">
        <v>180</v>
      </c>
      <c r="F331" s="258">
        <v>202</v>
      </c>
      <c r="G331" s="258">
        <v>214</v>
      </c>
      <c r="H331" s="258">
        <v>221</v>
      </c>
      <c r="I331" s="258">
        <v>372</v>
      </c>
      <c r="J331" s="258">
        <v>426</v>
      </c>
      <c r="K331" s="258">
        <v>435</v>
      </c>
      <c r="L331" s="258">
        <v>466</v>
      </c>
      <c r="M331" s="258">
        <v>520</v>
      </c>
      <c r="N331" s="258">
        <v>545</v>
      </c>
      <c r="O331" s="258">
        <v>552</v>
      </c>
      <c r="P331" s="258">
        <v>582</v>
      </c>
      <c r="Q331" s="146" t="s">
        <v>21</v>
      </c>
      <c r="R331" s="146" t="s">
        <v>21</v>
      </c>
      <c r="S331" s="146" t="s">
        <v>21</v>
      </c>
      <c r="T331" s="223" t="s">
        <v>21</v>
      </c>
    </row>
    <row r="332" spans="1:20" ht="10.8" customHeight="1">
      <c r="A332" s="45"/>
      <c r="B332" s="185" t="s">
        <v>7</v>
      </c>
      <c r="C332" s="307">
        <v>143</v>
      </c>
      <c r="D332" s="259">
        <v>162</v>
      </c>
      <c r="E332" s="259">
        <v>234</v>
      </c>
      <c r="F332" s="259">
        <v>265</v>
      </c>
      <c r="G332" s="259">
        <v>289</v>
      </c>
      <c r="H332" s="259">
        <v>302</v>
      </c>
      <c r="I332" s="259">
        <v>485</v>
      </c>
      <c r="J332" s="259">
        <v>562</v>
      </c>
      <c r="K332" s="259">
        <v>546</v>
      </c>
      <c r="L332" s="259">
        <v>592</v>
      </c>
      <c r="M332" s="259">
        <v>721</v>
      </c>
      <c r="N332" s="259">
        <v>761</v>
      </c>
      <c r="O332" s="259">
        <v>759</v>
      </c>
      <c r="P332" s="259">
        <v>802</v>
      </c>
      <c r="Q332" s="149" t="s">
        <v>21</v>
      </c>
      <c r="R332" s="149" t="s">
        <v>21</v>
      </c>
      <c r="S332" s="149" t="s">
        <v>21</v>
      </c>
      <c r="T332" s="225" t="s">
        <v>21</v>
      </c>
    </row>
    <row r="333" spans="1:20" ht="10.5" customHeight="1">
      <c r="A333" s="83">
        <v>63</v>
      </c>
      <c r="B333" s="184" t="s">
        <v>2</v>
      </c>
      <c r="C333" s="318">
        <v>46.6</v>
      </c>
      <c r="D333" s="262">
        <v>55.6</v>
      </c>
      <c r="E333" s="262">
        <v>70.5</v>
      </c>
      <c r="F333" s="262">
        <v>85</v>
      </c>
      <c r="G333" s="237">
        <v>100</v>
      </c>
      <c r="H333" s="237">
        <v>111</v>
      </c>
      <c r="I333" s="237">
        <v>143</v>
      </c>
      <c r="J333" s="237">
        <v>177</v>
      </c>
      <c r="K333" s="237">
        <v>193</v>
      </c>
      <c r="L333" s="237">
        <v>221</v>
      </c>
      <c r="M333" s="237">
        <v>258</v>
      </c>
      <c r="N333" s="237">
        <v>274</v>
      </c>
      <c r="O333" s="237">
        <v>296</v>
      </c>
      <c r="P333" s="237">
        <v>318</v>
      </c>
      <c r="Q333" s="237">
        <v>384</v>
      </c>
      <c r="R333" s="237">
        <v>411</v>
      </c>
      <c r="S333" s="237">
        <v>439</v>
      </c>
      <c r="T333" s="316">
        <v>449</v>
      </c>
    </row>
    <row r="334" spans="1:20" ht="9" customHeight="1">
      <c r="A334" s="1"/>
      <c r="B334" s="2" t="s">
        <v>3</v>
      </c>
      <c r="C334" s="319">
        <v>80.8</v>
      </c>
      <c r="D334" s="320">
        <v>95.7</v>
      </c>
      <c r="E334" s="258">
        <v>127</v>
      </c>
      <c r="F334" s="258">
        <v>151</v>
      </c>
      <c r="G334" s="258">
        <v>177</v>
      </c>
      <c r="H334" s="258">
        <v>196</v>
      </c>
      <c r="I334" s="258">
        <v>263</v>
      </c>
      <c r="J334" s="258">
        <v>323</v>
      </c>
      <c r="K334" s="258">
        <v>309</v>
      </c>
      <c r="L334" s="258">
        <v>354</v>
      </c>
      <c r="M334" s="258">
        <v>463</v>
      </c>
      <c r="N334" s="258">
        <v>495</v>
      </c>
      <c r="O334" s="258">
        <v>506</v>
      </c>
      <c r="P334" s="258">
        <v>544</v>
      </c>
      <c r="Q334" s="258">
        <v>678</v>
      </c>
      <c r="R334" s="258">
        <v>729</v>
      </c>
      <c r="S334" s="258">
        <v>845</v>
      </c>
      <c r="T334" s="310">
        <v>880</v>
      </c>
    </row>
    <row r="335" spans="1:20" ht="9.3000000000000007" customHeight="1">
      <c r="A335" s="1"/>
      <c r="B335" s="2" t="s">
        <v>5</v>
      </c>
      <c r="C335" s="304">
        <v>102</v>
      </c>
      <c r="D335" s="258">
        <v>121</v>
      </c>
      <c r="E335" s="258">
        <v>167</v>
      </c>
      <c r="F335" s="258">
        <v>193</v>
      </c>
      <c r="G335" s="258">
        <v>203</v>
      </c>
      <c r="H335" s="258">
        <v>219</v>
      </c>
      <c r="I335" s="258">
        <v>355</v>
      </c>
      <c r="J335" s="258">
        <v>420</v>
      </c>
      <c r="K335" s="258">
        <v>416</v>
      </c>
      <c r="L335" s="258">
        <v>465</v>
      </c>
      <c r="M335" s="258">
        <v>500</v>
      </c>
      <c r="N335" s="258">
        <v>529</v>
      </c>
      <c r="O335" s="258">
        <v>529</v>
      </c>
      <c r="P335" s="258">
        <v>562</v>
      </c>
      <c r="Q335" s="146" t="s">
        <v>21</v>
      </c>
      <c r="R335" s="146" t="s">
        <v>21</v>
      </c>
      <c r="S335" s="146" t="s">
        <v>21</v>
      </c>
      <c r="T335" s="223" t="s">
        <v>21</v>
      </c>
    </row>
    <row r="336" spans="1:20" ht="10.8" customHeight="1">
      <c r="A336" s="45"/>
      <c r="B336" s="185" t="s">
        <v>7</v>
      </c>
      <c r="C336" s="307">
        <v>133</v>
      </c>
      <c r="D336" s="259">
        <v>157</v>
      </c>
      <c r="E336" s="259">
        <v>217</v>
      </c>
      <c r="F336" s="259">
        <v>251</v>
      </c>
      <c r="G336" s="259">
        <v>274</v>
      </c>
      <c r="H336" s="259">
        <v>297</v>
      </c>
      <c r="I336" s="259">
        <v>461</v>
      </c>
      <c r="J336" s="259">
        <v>550</v>
      </c>
      <c r="K336" s="259">
        <v>520</v>
      </c>
      <c r="L336" s="259">
        <v>585</v>
      </c>
      <c r="M336" s="259">
        <v>688</v>
      </c>
      <c r="N336" s="259">
        <v>732</v>
      </c>
      <c r="O336" s="259">
        <v>724</v>
      </c>
      <c r="P336" s="259">
        <v>771</v>
      </c>
      <c r="Q336" s="149" t="s">
        <v>21</v>
      </c>
      <c r="R336" s="149" t="s">
        <v>21</v>
      </c>
      <c r="S336" s="149" t="s">
        <v>21</v>
      </c>
      <c r="T336" s="225" t="s">
        <v>21</v>
      </c>
    </row>
    <row r="337" spans="1:20" ht="10.5" customHeight="1">
      <c r="A337" s="83">
        <v>71</v>
      </c>
      <c r="B337" s="184" t="s">
        <v>2</v>
      </c>
      <c r="C337" s="318">
        <v>46.8</v>
      </c>
      <c r="D337" s="262">
        <v>53.1</v>
      </c>
      <c r="E337" s="262">
        <v>69.400000000000006</v>
      </c>
      <c r="F337" s="262">
        <v>81.400000000000006</v>
      </c>
      <c r="G337" s="262">
        <v>99.3</v>
      </c>
      <c r="H337" s="237">
        <v>106</v>
      </c>
      <c r="I337" s="237">
        <v>142</v>
      </c>
      <c r="J337" s="237">
        <v>168</v>
      </c>
      <c r="K337" s="237">
        <v>190</v>
      </c>
      <c r="L337" s="237">
        <v>217</v>
      </c>
      <c r="M337" s="237">
        <v>257</v>
      </c>
      <c r="N337" s="237">
        <v>267</v>
      </c>
      <c r="O337" s="237">
        <v>287</v>
      </c>
      <c r="P337" s="237">
        <v>307</v>
      </c>
      <c r="Q337" s="237">
        <v>383</v>
      </c>
      <c r="R337" s="237">
        <v>397</v>
      </c>
      <c r="S337" s="237">
        <v>434</v>
      </c>
      <c r="T337" s="316">
        <v>452</v>
      </c>
    </row>
    <row r="338" spans="1:20" ht="9" customHeight="1">
      <c r="A338" s="1"/>
      <c r="B338" s="2" t="s">
        <v>3</v>
      </c>
      <c r="C338" s="319">
        <v>79.900000000000006</v>
      </c>
      <c r="D338" s="320">
        <v>90.8</v>
      </c>
      <c r="E338" s="258">
        <v>123</v>
      </c>
      <c r="F338" s="258">
        <v>144</v>
      </c>
      <c r="G338" s="258">
        <v>175</v>
      </c>
      <c r="H338" s="258">
        <v>187</v>
      </c>
      <c r="I338" s="258">
        <v>258</v>
      </c>
      <c r="J338" s="258">
        <v>302</v>
      </c>
      <c r="K338" s="258">
        <v>301</v>
      </c>
      <c r="L338" s="258">
        <v>344</v>
      </c>
      <c r="M338" s="258">
        <v>454</v>
      </c>
      <c r="N338" s="258">
        <v>474</v>
      </c>
      <c r="O338" s="258">
        <v>489</v>
      </c>
      <c r="P338" s="258">
        <v>519</v>
      </c>
      <c r="Q338" s="258">
        <v>672</v>
      </c>
      <c r="R338" s="258">
        <v>692</v>
      </c>
      <c r="S338" s="258">
        <v>812</v>
      </c>
      <c r="T338" s="310">
        <v>855</v>
      </c>
    </row>
    <row r="339" spans="1:20" ht="9.3000000000000007" customHeight="1">
      <c r="A339" s="1"/>
      <c r="B339" s="2" t="s">
        <v>5</v>
      </c>
      <c r="C339" s="304">
        <v>101</v>
      </c>
      <c r="D339" s="258">
        <v>113</v>
      </c>
      <c r="E339" s="258">
        <v>162</v>
      </c>
      <c r="F339" s="258">
        <v>184</v>
      </c>
      <c r="G339" s="258">
        <v>201</v>
      </c>
      <c r="H339" s="258">
        <v>210</v>
      </c>
      <c r="I339" s="258">
        <v>350</v>
      </c>
      <c r="J339" s="258">
        <v>395</v>
      </c>
      <c r="K339" s="258">
        <v>406</v>
      </c>
      <c r="L339" s="258">
        <v>452</v>
      </c>
      <c r="M339" s="258">
        <v>492</v>
      </c>
      <c r="N339" s="258">
        <v>508</v>
      </c>
      <c r="O339" s="258">
        <v>513</v>
      </c>
      <c r="P339" s="258">
        <v>538</v>
      </c>
      <c r="Q339" s="146" t="s">
        <v>21</v>
      </c>
      <c r="R339" s="146" t="s">
        <v>21</v>
      </c>
      <c r="S339" s="146" t="s">
        <v>21</v>
      </c>
      <c r="T339" s="223" t="s">
        <v>21</v>
      </c>
    </row>
    <row r="340" spans="1:20" ht="10.8" customHeight="1">
      <c r="A340" s="45"/>
      <c r="B340" s="185" t="s">
        <v>7</v>
      </c>
      <c r="C340" s="307">
        <v>131</v>
      </c>
      <c r="D340" s="259">
        <v>147</v>
      </c>
      <c r="E340" s="259">
        <v>210</v>
      </c>
      <c r="F340" s="259">
        <v>240</v>
      </c>
      <c r="G340" s="259">
        <v>269</v>
      </c>
      <c r="H340" s="259">
        <v>283</v>
      </c>
      <c r="I340" s="259">
        <v>453</v>
      </c>
      <c r="J340" s="259">
        <v>515</v>
      </c>
      <c r="K340" s="259">
        <v>506</v>
      </c>
      <c r="L340" s="259">
        <v>567</v>
      </c>
      <c r="M340" s="259">
        <v>672</v>
      </c>
      <c r="N340" s="259">
        <v>698</v>
      </c>
      <c r="O340" s="259">
        <v>699</v>
      </c>
      <c r="P340" s="259">
        <v>734</v>
      </c>
      <c r="Q340" s="149" t="s">
        <v>21</v>
      </c>
      <c r="R340" s="149" t="s">
        <v>21</v>
      </c>
      <c r="S340" s="149" t="s">
        <v>21</v>
      </c>
      <c r="T340" s="225" t="s">
        <v>21</v>
      </c>
    </row>
    <row r="341" spans="1:20" ht="10.5" customHeight="1">
      <c r="A341" s="83">
        <v>80</v>
      </c>
      <c r="B341" s="184" t="s">
        <v>2</v>
      </c>
      <c r="C341" s="318">
        <v>44.1</v>
      </c>
      <c r="D341" s="262">
        <v>50.3</v>
      </c>
      <c r="E341" s="262">
        <v>68.099999999999994</v>
      </c>
      <c r="F341" s="262">
        <v>76</v>
      </c>
      <c r="G341" s="262">
        <v>94.7</v>
      </c>
      <c r="H341" s="237">
        <v>101</v>
      </c>
      <c r="I341" s="237">
        <v>136</v>
      </c>
      <c r="J341" s="237">
        <v>161</v>
      </c>
      <c r="K341" s="237">
        <v>186</v>
      </c>
      <c r="L341" s="237">
        <v>208</v>
      </c>
      <c r="M341" s="237">
        <v>252</v>
      </c>
      <c r="N341" s="237">
        <v>266</v>
      </c>
      <c r="O341" s="237">
        <v>280</v>
      </c>
      <c r="P341" s="237">
        <v>298</v>
      </c>
      <c r="Q341" s="237">
        <v>370</v>
      </c>
      <c r="R341" s="237">
        <v>396</v>
      </c>
      <c r="S341" s="237">
        <v>438</v>
      </c>
      <c r="T341" s="316">
        <v>446</v>
      </c>
    </row>
    <row r="342" spans="1:20" ht="9" customHeight="1">
      <c r="A342" s="1"/>
      <c r="B342" s="2" t="s">
        <v>3</v>
      </c>
      <c r="C342" s="319">
        <v>75</v>
      </c>
      <c r="D342" s="320">
        <v>85.6</v>
      </c>
      <c r="E342" s="258">
        <v>120</v>
      </c>
      <c r="F342" s="258">
        <v>134</v>
      </c>
      <c r="G342" s="258">
        <v>165</v>
      </c>
      <c r="H342" s="258">
        <v>177</v>
      </c>
      <c r="I342" s="258">
        <v>244</v>
      </c>
      <c r="J342" s="258">
        <v>286</v>
      </c>
      <c r="K342" s="258">
        <v>294</v>
      </c>
      <c r="L342" s="258">
        <v>328</v>
      </c>
      <c r="M342" s="258">
        <v>440</v>
      </c>
      <c r="N342" s="258">
        <v>465</v>
      </c>
      <c r="O342" s="258">
        <v>473</v>
      </c>
      <c r="P342" s="258">
        <v>501</v>
      </c>
      <c r="Q342" s="258">
        <v>641</v>
      </c>
      <c r="R342" s="258">
        <v>686</v>
      </c>
      <c r="S342" s="258">
        <v>791</v>
      </c>
      <c r="T342" s="310">
        <v>822</v>
      </c>
    </row>
    <row r="343" spans="1:20" ht="9.3000000000000007" customHeight="1">
      <c r="A343" s="1"/>
      <c r="B343" s="2" t="s">
        <v>5</v>
      </c>
      <c r="C343" s="304">
        <v>93</v>
      </c>
      <c r="D343" s="258">
        <v>104</v>
      </c>
      <c r="E343" s="258">
        <v>156</v>
      </c>
      <c r="F343" s="258">
        <v>169</v>
      </c>
      <c r="G343" s="258">
        <v>191</v>
      </c>
      <c r="H343" s="258">
        <v>199</v>
      </c>
      <c r="I343" s="258">
        <v>333</v>
      </c>
      <c r="J343" s="258">
        <v>377</v>
      </c>
      <c r="K343" s="258">
        <v>397</v>
      </c>
      <c r="L343" s="258">
        <v>433</v>
      </c>
      <c r="M343" s="258">
        <v>478</v>
      </c>
      <c r="N343" s="258">
        <v>500</v>
      </c>
      <c r="O343" s="258">
        <v>499</v>
      </c>
      <c r="P343" s="258">
        <v>522</v>
      </c>
      <c r="Q343" s="146" t="s">
        <v>21</v>
      </c>
      <c r="R343" s="146" t="s">
        <v>21</v>
      </c>
      <c r="S343" s="146" t="s">
        <v>21</v>
      </c>
      <c r="T343" s="223" t="s">
        <v>21</v>
      </c>
    </row>
    <row r="344" spans="1:20" ht="10.95" customHeight="1">
      <c r="A344" s="45"/>
      <c r="B344" s="185" t="s">
        <v>7</v>
      </c>
      <c r="C344" s="307">
        <v>121</v>
      </c>
      <c r="D344" s="259">
        <v>136</v>
      </c>
      <c r="E344" s="259">
        <v>202</v>
      </c>
      <c r="F344" s="259">
        <v>221</v>
      </c>
      <c r="G344" s="259">
        <v>256</v>
      </c>
      <c r="H344" s="259">
        <v>268</v>
      </c>
      <c r="I344" s="259">
        <v>430</v>
      </c>
      <c r="J344" s="259">
        <v>489</v>
      </c>
      <c r="K344" s="259">
        <v>494</v>
      </c>
      <c r="L344" s="259">
        <v>541</v>
      </c>
      <c r="M344" s="259">
        <v>650</v>
      </c>
      <c r="N344" s="259">
        <v>682</v>
      </c>
      <c r="O344" s="259">
        <v>677</v>
      </c>
      <c r="P344" s="259">
        <v>709</v>
      </c>
      <c r="Q344" s="149" t="s">
        <v>21</v>
      </c>
      <c r="R344" s="149" t="s">
        <v>21</v>
      </c>
      <c r="S344" s="149" t="s">
        <v>21</v>
      </c>
      <c r="T344" s="225" t="s">
        <v>21</v>
      </c>
    </row>
    <row r="345" spans="1:20" ht="10.199999999999999" customHeight="1">
      <c r="A345" s="83">
        <v>90</v>
      </c>
      <c r="B345" s="184" t="s">
        <v>2</v>
      </c>
      <c r="C345" s="318">
        <v>43.5</v>
      </c>
      <c r="D345" s="262">
        <v>50.4</v>
      </c>
      <c r="E345" s="262">
        <v>64.3</v>
      </c>
      <c r="F345" s="262">
        <v>74.7</v>
      </c>
      <c r="G345" s="262">
        <v>89.6</v>
      </c>
      <c r="H345" s="237">
        <v>101</v>
      </c>
      <c r="I345" s="237">
        <v>132</v>
      </c>
      <c r="J345" s="237">
        <v>159</v>
      </c>
      <c r="K345" s="237">
        <v>177</v>
      </c>
      <c r="L345" s="237">
        <v>205</v>
      </c>
      <c r="M345" s="237">
        <v>241</v>
      </c>
      <c r="N345" s="237">
        <v>260</v>
      </c>
      <c r="O345" s="237">
        <v>267</v>
      </c>
      <c r="P345" s="237">
        <v>290</v>
      </c>
      <c r="Q345" s="237">
        <v>360</v>
      </c>
      <c r="R345" s="237">
        <v>382</v>
      </c>
      <c r="S345" s="237">
        <v>433</v>
      </c>
      <c r="T345" s="316">
        <v>449</v>
      </c>
    </row>
    <row r="346" spans="1:20" ht="9" customHeight="1">
      <c r="A346" s="1"/>
      <c r="B346" s="2" t="s">
        <v>3</v>
      </c>
      <c r="C346" s="319">
        <v>73.5</v>
      </c>
      <c r="D346" s="320">
        <v>84.6</v>
      </c>
      <c r="E346" s="258">
        <v>113</v>
      </c>
      <c r="F346" s="258">
        <v>130</v>
      </c>
      <c r="G346" s="258">
        <v>156</v>
      </c>
      <c r="H346" s="258">
        <v>174</v>
      </c>
      <c r="I346" s="258">
        <v>238</v>
      </c>
      <c r="J346" s="258">
        <v>281</v>
      </c>
      <c r="K346" s="258">
        <v>277</v>
      </c>
      <c r="L346" s="258">
        <v>319</v>
      </c>
      <c r="M346" s="258">
        <v>416</v>
      </c>
      <c r="N346" s="258">
        <v>450</v>
      </c>
      <c r="O346" s="258">
        <v>448</v>
      </c>
      <c r="P346" s="258">
        <v>485</v>
      </c>
      <c r="Q346" s="258">
        <v>615</v>
      </c>
      <c r="R346" s="258">
        <v>653</v>
      </c>
      <c r="S346" s="258">
        <v>773</v>
      </c>
      <c r="T346" s="310">
        <v>800</v>
      </c>
    </row>
    <row r="347" spans="1:20" ht="9.3000000000000007" customHeight="1">
      <c r="A347" s="1"/>
      <c r="B347" s="2" t="s">
        <v>5</v>
      </c>
      <c r="C347" s="304">
        <v>90</v>
      </c>
      <c r="D347" s="258">
        <v>104</v>
      </c>
      <c r="E347" s="258">
        <v>143</v>
      </c>
      <c r="F347" s="258">
        <v>164</v>
      </c>
      <c r="G347" s="258">
        <v>181</v>
      </c>
      <c r="H347" s="258">
        <v>197</v>
      </c>
      <c r="I347" s="258">
        <v>325</v>
      </c>
      <c r="J347" s="258">
        <v>372</v>
      </c>
      <c r="K347" s="258">
        <v>377</v>
      </c>
      <c r="L347" s="258">
        <v>422</v>
      </c>
      <c r="M347" s="258">
        <v>455</v>
      </c>
      <c r="N347" s="258">
        <v>486</v>
      </c>
      <c r="O347" s="258">
        <v>475</v>
      </c>
      <c r="P347" s="258">
        <v>507</v>
      </c>
      <c r="Q347" s="146" t="s">
        <v>21</v>
      </c>
      <c r="R347" s="146" t="s">
        <v>21</v>
      </c>
      <c r="S347" s="146" t="s">
        <v>21</v>
      </c>
      <c r="T347" s="223" t="s">
        <v>21</v>
      </c>
    </row>
    <row r="348" spans="1:20" ht="10.95" customHeight="1">
      <c r="A348" s="45"/>
      <c r="B348" s="185" t="s">
        <v>7</v>
      </c>
      <c r="C348" s="307">
        <v>117</v>
      </c>
      <c r="D348" s="259">
        <v>135</v>
      </c>
      <c r="E348" s="259">
        <v>186</v>
      </c>
      <c r="F348" s="259">
        <v>213</v>
      </c>
      <c r="G348" s="259">
        <v>241</v>
      </c>
      <c r="H348" s="259">
        <v>263</v>
      </c>
      <c r="I348" s="259">
        <v>418</v>
      </c>
      <c r="J348" s="259">
        <v>481</v>
      </c>
      <c r="K348" s="259">
        <v>467</v>
      </c>
      <c r="L348" s="259">
        <v>526</v>
      </c>
      <c r="M348" s="259">
        <v>616</v>
      </c>
      <c r="N348" s="259">
        <v>660</v>
      </c>
      <c r="O348" s="259">
        <v>641</v>
      </c>
      <c r="P348" s="259">
        <v>686</v>
      </c>
      <c r="Q348" s="149" t="s">
        <v>21</v>
      </c>
      <c r="R348" s="149" t="s">
        <v>21</v>
      </c>
      <c r="S348" s="149" t="s">
        <v>21</v>
      </c>
      <c r="T348" s="225" t="s">
        <v>21</v>
      </c>
    </row>
    <row r="349" spans="1:20" ht="10.199999999999999" customHeight="1">
      <c r="A349" s="83">
        <v>100</v>
      </c>
      <c r="B349" s="184" t="s">
        <v>2</v>
      </c>
      <c r="C349" s="153" t="s">
        <v>1</v>
      </c>
      <c r="D349" s="262">
        <v>47.6</v>
      </c>
      <c r="E349" s="85" t="s">
        <v>1</v>
      </c>
      <c r="F349" s="262">
        <v>73.3</v>
      </c>
      <c r="G349" s="85" t="s">
        <v>1</v>
      </c>
      <c r="H349" s="262">
        <v>95.8</v>
      </c>
      <c r="I349" s="85" t="s">
        <v>1</v>
      </c>
      <c r="J349" s="237">
        <v>152</v>
      </c>
      <c r="K349" s="85" t="s">
        <v>1</v>
      </c>
      <c r="L349" s="237">
        <v>200</v>
      </c>
      <c r="M349" s="85" t="s">
        <v>1</v>
      </c>
      <c r="N349" s="237">
        <v>249</v>
      </c>
      <c r="O349" s="85" t="s">
        <v>1</v>
      </c>
      <c r="P349" s="237">
        <v>277</v>
      </c>
      <c r="Q349" s="85" t="s">
        <v>1</v>
      </c>
      <c r="R349" s="237">
        <v>372</v>
      </c>
      <c r="S349" s="85" t="s">
        <v>1</v>
      </c>
      <c r="T349" s="316">
        <v>443</v>
      </c>
    </row>
    <row r="350" spans="1:20" ht="9" customHeight="1">
      <c r="A350" s="1"/>
      <c r="B350" s="2" t="s">
        <v>3</v>
      </c>
      <c r="C350" s="154" t="s">
        <v>1</v>
      </c>
      <c r="D350" s="320">
        <v>79.400000000000006</v>
      </c>
      <c r="E350" s="146" t="s">
        <v>1</v>
      </c>
      <c r="F350" s="258">
        <v>127</v>
      </c>
      <c r="G350" s="146" t="s">
        <v>1</v>
      </c>
      <c r="H350" s="258">
        <v>165</v>
      </c>
      <c r="I350" s="146" t="s">
        <v>1</v>
      </c>
      <c r="J350" s="258">
        <v>266</v>
      </c>
      <c r="K350" s="146" t="s">
        <v>1</v>
      </c>
      <c r="L350" s="258">
        <v>311</v>
      </c>
      <c r="M350" s="146" t="s">
        <v>1</v>
      </c>
      <c r="N350" s="258">
        <v>426</v>
      </c>
      <c r="O350" s="146" t="s">
        <v>1</v>
      </c>
      <c r="P350" s="258">
        <v>459</v>
      </c>
      <c r="Q350" s="146" t="s">
        <v>1</v>
      </c>
      <c r="R350" s="258">
        <v>627</v>
      </c>
      <c r="S350" s="146" t="s">
        <v>1</v>
      </c>
      <c r="T350" s="310">
        <v>782</v>
      </c>
    </row>
    <row r="351" spans="1:20" ht="9.3000000000000007" customHeight="1">
      <c r="A351" s="1"/>
      <c r="B351" s="2" t="s">
        <v>5</v>
      </c>
      <c r="C351" s="154" t="s">
        <v>1</v>
      </c>
      <c r="D351" s="320">
        <v>95.4</v>
      </c>
      <c r="E351" s="146" t="s">
        <v>1</v>
      </c>
      <c r="F351" s="258">
        <v>158</v>
      </c>
      <c r="G351" s="146" t="s">
        <v>1</v>
      </c>
      <c r="H351" s="258">
        <v>188</v>
      </c>
      <c r="I351" s="146" t="s">
        <v>1</v>
      </c>
      <c r="J351" s="258">
        <v>354</v>
      </c>
      <c r="K351" s="146" t="s">
        <v>1</v>
      </c>
      <c r="L351" s="258">
        <v>413</v>
      </c>
      <c r="M351" s="146" t="s">
        <v>1</v>
      </c>
      <c r="N351" s="258">
        <v>462</v>
      </c>
      <c r="O351" s="146" t="s">
        <v>1</v>
      </c>
      <c r="P351" s="258">
        <v>482</v>
      </c>
      <c r="Q351" s="146" t="s">
        <v>1</v>
      </c>
      <c r="R351" s="146" t="s">
        <v>21</v>
      </c>
      <c r="S351" s="146" t="s">
        <v>1</v>
      </c>
      <c r="T351" s="223" t="s">
        <v>21</v>
      </c>
    </row>
    <row r="352" spans="1:20" ht="10.8" customHeight="1">
      <c r="A352" s="45"/>
      <c r="B352" s="185" t="s">
        <v>7</v>
      </c>
      <c r="C352" s="155" t="s">
        <v>1</v>
      </c>
      <c r="D352" s="259">
        <v>124</v>
      </c>
      <c r="E352" s="149" t="s">
        <v>1</v>
      </c>
      <c r="F352" s="259">
        <v>206</v>
      </c>
      <c r="G352" s="149" t="s">
        <v>1</v>
      </c>
      <c r="H352" s="259">
        <v>250</v>
      </c>
      <c r="I352" s="149" t="s">
        <v>1</v>
      </c>
      <c r="J352" s="259">
        <v>456</v>
      </c>
      <c r="K352" s="149" t="s">
        <v>1</v>
      </c>
      <c r="L352" s="259">
        <v>513</v>
      </c>
      <c r="M352" s="149" t="s">
        <v>1</v>
      </c>
      <c r="N352" s="259">
        <v>626</v>
      </c>
      <c r="O352" s="149" t="s">
        <v>1</v>
      </c>
      <c r="P352" s="259">
        <v>650</v>
      </c>
      <c r="Q352" s="149" t="s">
        <v>1</v>
      </c>
      <c r="R352" s="149" t="s">
        <v>21</v>
      </c>
      <c r="S352" s="149" t="s">
        <v>1</v>
      </c>
      <c r="T352" s="225" t="s">
        <v>21</v>
      </c>
    </row>
    <row r="353" spans="1:20" ht="10.5" customHeight="1">
      <c r="A353" s="83">
        <v>112</v>
      </c>
      <c r="B353" s="184" t="s">
        <v>2</v>
      </c>
      <c r="C353" s="153" t="s">
        <v>1</v>
      </c>
      <c r="D353" s="262">
        <v>46.8</v>
      </c>
      <c r="E353" s="85" t="s">
        <v>1</v>
      </c>
      <c r="F353" s="262">
        <v>69.2</v>
      </c>
      <c r="G353" s="85" t="s">
        <v>1</v>
      </c>
      <c r="H353" s="262">
        <v>90.7</v>
      </c>
      <c r="I353" s="85" t="s">
        <v>1</v>
      </c>
      <c r="J353" s="237">
        <v>148</v>
      </c>
      <c r="K353" s="85" t="s">
        <v>1</v>
      </c>
      <c r="L353" s="237">
        <v>190</v>
      </c>
      <c r="M353" s="85" t="s">
        <v>1</v>
      </c>
      <c r="N353" s="85" t="s">
        <v>1</v>
      </c>
      <c r="O353" s="85" t="s">
        <v>1</v>
      </c>
      <c r="P353" s="85" t="s">
        <v>1</v>
      </c>
      <c r="Q353" s="85" t="s">
        <v>1</v>
      </c>
      <c r="R353" s="85" t="s">
        <v>1</v>
      </c>
      <c r="S353" s="85" t="s">
        <v>1</v>
      </c>
      <c r="T353" s="221" t="s">
        <v>1</v>
      </c>
    </row>
    <row r="354" spans="1:20" ht="9" customHeight="1">
      <c r="A354" s="1"/>
      <c r="B354" s="2" t="s">
        <v>3</v>
      </c>
      <c r="C354" s="154" t="s">
        <v>1</v>
      </c>
      <c r="D354" s="320">
        <v>77.900000000000006</v>
      </c>
      <c r="E354" s="146" t="s">
        <v>1</v>
      </c>
      <c r="F354" s="258">
        <v>119</v>
      </c>
      <c r="G354" s="146" t="s">
        <v>1</v>
      </c>
      <c r="H354" s="258">
        <v>155</v>
      </c>
      <c r="I354" s="146" t="s">
        <v>1</v>
      </c>
      <c r="J354" s="258">
        <v>259</v>
      </c>
      <c r="K354" s="146" t="s">
        <v>1</v>
      </c>
      <c r="L354" s="258">
        <v>294</v>
      </c>
      <c r="M354" s="146" t="s">
        <v>1</v>
      </c>
      <c r="N354" s="146" t="s">
        <v>1</v>
      </c>
      <c r="O354" s="146" t="s">
        <v>1</v>
      </c>
      <c r="P354" s="146" t="s">
        <v>1</v>
      </c>
      <c r="Q354" s="146" t="s">
        <v>1</v>
      </c>
      <c r="R354" s="146" t="s">
        <v>1</v>
      </c>
      <c r="S354" s="146" t="s">
        <v>1</v>
      </c>
      <c r="T354" s="223" t="s">
        <v>1</v>
      </c>
    </row>
    <row r="355" spans="1:20" ht="9.3000000000000007" customHeight="1">
      <c r="A355" s="1"/>
      <c r="B355" s="2" t="s">
        <v>5</v>
      </c>
      <c r="C355" s="154" t="s">
        <v>1</v>
      </c>
      <c r="D355" s="320">
        <v>92.1</v>
      </c>
      <c r="E355" s="146" t="s">
        <v>1</v>
      </c>
      <c r="F355" s="258">
        <v>145</v>
      </c>
      <c r="G355" s="146" t="s">
        <v>1</v>
      </c>
      <c r="H355" s="258">
        <v>178</v>
      </c>
      <c r="I355" s="146" t="s">
        <v>1</v>
      </c>
      <c r="J355" s="258">
        <v>345</v>
      </c>
      <c r="K355" s="146" t="s">
        <v>1</v>
      </c>
      <c r="L355" s="258">
        <v>391</v>
      </c>
      <c r="M355" s="146" t="s">
        <v>1</v>
      </c>
      <c r="N355" s="146" t="s">
        <v>1</v>
      </c>
      <c r="O355" s="146" t="s">
        <v>1</v>
      </c>
      <c r="P355" s="146" t="s">
        <v>1</v>
      </c>
      <c r="Q355" s="146" t="s">
        <v>1</v>
      </c>
      <c r="R355" s="146" t="s">
        <v>1</v>
      </c>
      <c r="S355" s="146" t="s">
        <v>1</v>
      </c>
      <c r="T355" s="223" t="s">
        <v>1</v>
      </c>
    </row>
    <row r="356" spans="1:20" ht="10.8" customHeight="1">
      <c r="A356" s="392"/>
      <c r="B356" s="393" t="s">
        <v>7</v>
      </c>
      <c r="C356" s="378" t="s">
        <v>1</v>
      </c>
      <c r="D356" s="371">
        <v>120</v>
      </c>
      <c r="E356" s="379" t="s">
        <v>1</v>
      </c>
      <c r="F356" s="371">
        <v>190</v>
      </c>
      <c r="G356" s="379" t="s">
        <v>1</v>
      </c>
      <c r="H356" s="371">
        <v>236</v>
      </c>
      <c r="I356" s="379" t="s">
        <v>1</v>
      </c>
      <c r="J356" s="371">
        <v>444</v>
      </c>
      <c r="K356" s="379" t="s">
        <v>1</v>
      </c>
      <c r="L356" s="371">
        <v>485</v>
      </c>
      <c r="M356" s="379" t="s">
        <v>1</v>
      </c>
      <c r="N356" s="379" t="s">
        <v>1</v>
      </c>
      <c r="O356" s="379" t="s">
        <v>1</v>
      </c>
      <c r="P356" s="379" t="s">
        <v>1</v>
      </c>
      <c r="Q356" s="379" t="s">
        <v>1</v>
      </c>
      <c r="R356" s="379" t="s">
        <v>1</v>
      </c>
      <c r="S356" s="379" t="s">
        <v>1</v>
      </c>
      <c r="T356" s="380" t="s">
        <v>1</v>
      </c>
    </row>
    <row r="374" spans="1:21" ht="40.5" customHeight="1">
      <c r="A374" s="449" t="s">
        <v>242</v>
      </c>
      <c r="B374" s="449"/>
      <c r="C374" s="449"/>
      <c r="D374" s="449"/>
      <c r="E374" s="449"/>
      <c r="F374" s="449"/>
      <c r="G374" s="449"/>
      <c r="H374" s="449"/>
      <c r="I374" s="449"/>
      <c r="J374" s="449"/>
      <c r="K374" s="449"/>
      <c r="L374" s="449"/>
      <c r="M374" s="449"/>
      <c r="N374" s="449"/>
      <c r="O374" s="449"/>
      <c r="P374" s="449"/>
      <c r="Q374" s="449"/>
      <c r="R374" s="449"/>
      <c r="S374" s="449"/>
      <c r="T374" s="449"/>
      <c r="U374" s="449"/>
    </row>
    <row r="375" spans="1:21" ht="12.3" customHeight="1">
      <c r="A375" s="450" t="s">
        <v>69</v>
      </c>
      <c r="B375" s="451"/>
      <c r="C375" s="454" t="s">
        <v>14</v>
      </c>
      <c r="D375" s="455"/>
      <c r="E375" s="455"/>
      <c r="F375" s="455"/>
      <c r="G375" s="455"/>
      <c r="H375" s="455"/>
      <c r="I375" s="455"/>
      <c r="J375" s="455"/>
      <c r="K375" s="455"/>
      <c r="L375" s="455"/>
      <c r="M375" s="455"/>
      <c r="N375" s="455"/>
      <c r="O375" s="455"/>
      <c r="P375" s="455"/>
      <c r="Q375" s="455"/>
      <c r="R375" s="455"/>
      <c r="S375" s="455"/>
      <c r="T375" s="455"/>
    </row>
    <row r="376" spans="1:21" ht="9" customHeight="1">
      <c r="A376" s="452"/>
      <c r="B376" s="453"/>
      <c r="C376" s="33">
        <v>5</v>
      </c>
      <c r="D376" s="33">
        <v>6</v>
      </c>
      <c r="E376" s="33">
        <v>7</v>
      </c>
      <c r="F376" s="33">
        <v>8</v>
      </c>
      <c r="G376" s="33">
        <v>9</v>
      </c>
      <c r="H376" s="33">
        <v>10</v>
      </c>
      <c r="I376" s="33">
        <v>11</v>
      </c>
      <c r="J376" s="33">
        <v>12</v>
      </c>
      <c r="K376" s="33">
        <v>13</v>
      </c>
      <c r="L376" s="33">
        <v>14</v>
      </c>
      <c r="M376" s="156">
        <v>15</v>
      </c>
      <c r="N376" s="33">
        <v>16</v>
      </c>
      <c r="O376" s="33">
        <v>17</v>
      </c>
      <c r="P376" s="33">
        <v>18</v>
      </c>
      <c r="Q376" s="33">
        <v>19</v>
      </c>
      <c r="R376" s="33">
        <v>20</v>
      </c>
      <c r="S376" s="33">
        <v>21</v>
      </c>
      <c r="T376" s="34">
        <v>22</v>
      </c>
    </row>
    <row r="377" spans="1:21" ht="10.5" customHeight="1">
      <c r="A377" s="431">
        <v>22.4</v>
      </c>
      <c r="B377" s="184" t="s">
        <v>2</v>
      </c>
      <c r="C377" s="153" t="s">
        <v>1</v>
      </c>
      <c r="D377" s="85" t="s">
        <v>1</v>
      </c>
      <c r="E377" s="85" t="s">
        <v>1</v>
      </c>
      <c r="F377" s="85" t="s">
        <v>1</v>
      </c>
      <c r="G377" s="85" t="s">
        <v>1</v>
      </c>
      <c r="H377" s="85" t="s">
        <v>1</v>
      </c>
      <c r="I377" s="85" t="s">
        <v>1</v>
      </c>
      <c r="J377" s="85" t="s">
        <v>1</v>
      </c>
      <c r="K377" s="237">
        <v>132</v>
      </c>
      <c r="L377" s="85" t="s">
        <v>1</v>
      </c>
      <c r="M377" s="85" t="s">
        <v>21</v>
      </c>
      <c r="N377" s="85" t="s">
        <v>1</v>
      </c>
      <c r="O377" s="85" t="s">
        <v>21</v>
      </c>
      <c r="P377" s="85" t="s">
        <v>1</v>
      </c>
      <c r="Q377" s="85" t="s">
        <v>21</v>
      </c>
      <c r="R377" s="85" t="s">
        <v>1</v>
      </c>
      <c r="S377" s="85" t="s">
        <v>21</v>
      </c>
      <c r="T377" s="221" t="s">
        <v>1</v>
      </c>
    </row>
    <row r="378" spans="1:21" ht="9" customHeight="1">
      <c r="A378" s="432"/>
      <c r="B378" s="2" t="s">
        <v>3</v>
      </c>
      <c r="C378" s="154" t="s">
        <v>1</v>
      </c>
      <c r="D378" s="146" t="s">
        <v>1</v>
      </c>
      <c r="E378" s="146" t="s">
        <v>1</v>
      </c>
      <c r="F378" s="146" t="s">
        <v>1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58">
        <v>357</v>
      </c>
      <c r="L378" s="146" t="s">
        <v>1</v>
      </c>
      <c r="M378" s="258">
        <v>440</v>
      </c>
      <c r="N378" s="146" t="s">
        <v>1</v>
      </c>
      <c r="O378" s="258">
        <v>536</v>
      </c>
      <c r="P378" s="146" t="s">
        <v>1</v>
      </c>
      <c r="Q378" s="146" t="s">
        <v>21</v>
      </c>
      <c r="R378" s="146" t="s">
        <v>1</v>
      </c>
      <c r="S378" s="146" t="s">
        <v>21</v>
      </c>
      <c r="T378" s="223" t="s">
        <v>1</v>
      </c>
    </row>
    <row r="379" spans="1:21" ht="9.3000000000000007" customHeight="1">
      <c r="A379" s="432"/>
      <c r="B379" s="2" t="s">
        <v>5</v>
      </c>
      <c r="C379" s="154" t="s">
        <v>1</v>
      </c>
      <c r="D379" s="146" t="s">
        <v>1</v>
      </c>
      <c r="E379" s="146" t="s">
        <v>1</v>
      </c>
      <c r="F379" s="146" t="s">
        <v>1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58">
        <v>492</v>
      </c>
      <c r="L379" s="146" t="s">
        <v>1</v>
      </c>
      <c r="M379" s="258">
        <v>442</v>
      </c>
      <c r="N379" s="146" t="s">
        <v>1</v>
      </c>
      <c r="O379" s="258">
        <v>515</v>
      </c>
      <c r="P379" s="146" t="s">
        <v>1</v>
      </c>
      <c r="Q379" s="146" t="s">
        <v>21</v>
      </c>
      <c r="R379" s="146" t="s">
        <v>1</v>
      </c>
      <c r="S379" s="146" t="s">
        <v>21</v>
      </c>
      <c r="T379" s="223" t="s">
        <v>1</v>
      </c>
    </row>
    <row r="380" spans="1:21" ht="10.8" customHeight="1">
      <c r="A380" s="433"/>
      <c r="B380" s="185" t="s">
        <v>7</v>
      </c>
      <c r="C380" s="155" t="s">
        <v>1</v>
      </c>
      <c r="D380" s="149" t="s">
        <v>1</v>
      </c>
      <c r="E380" s="149" t="s">
        <v>1</v>
      </c>
      <c r="F380" s="149" t="s">
        <v>1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59">
        <v>686</v>
      </c>
      <c r="L380" s="149" t="s">
        <v>1</v>
      </c>
      <c r="M380" s="259">
        <v>789</v>
      </c>
      <c r="N380" s="149" t="s">
        <v>1</v>
      </c>
      <c r="O380" s="259">
        <v>880</v>
      </c>
      <c r="P380" s="149" t="s">
        <v>1</v>
      </c>
      <c r="Q380" s="149" t="s">
        <v>21</v>
      </c>
      <c r="R380" s="149" t="s">
        <v>1</v>
      </c>
      <c r="S380" s="149" t="s">
        <v>21</v>
      </c>
      <c r="T380" s="225" t="s">
        <v>1</v>
      </c>
    </row>
    <row r="381" spans="1:21" ht="10.5" customHeight="1">
      <c r="A381" s="83">
        <v>25</v>
      </c>
      <c r="B381" s="184" t="s">
        <v>2</v>
      </c>
      <c r="C381" s="318">
        <v>61.9</v>
      </c>
      <c r="D381" s="85" t="s">
        <v>1</v>
      </c>
      <c r="E381" s="262">
        <v>89</v>
      </c>
      <c r="F381" s="85" t="s">
        <v>1</v>
      </c>
      <c r="G381" s="237">
        <v>113</v>
      </c>
      <c r="H381" s="85" t="s">
        <v>1</v>
      </c>
      <c r="I381" s="237">
        <v>148</v>
      </c>
      <c r="J381" s="85" t="s">
        <v>1</v>
      </c>
      <c r="K381" s="237">
        <v>158</v>
      </c>
      <c r="L381" s="85" t="s">
        <v>1</v>
      </c>
      <c r="M381" s="85" t="s">
        <v>21</v>
      </c>
      <c r="N381" s="85" t="s">
        <v>21</v>
      </c>
      <c r="O381" s="85" t="s">
        <v>21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221" t="s">
        <v>21</v>
      </c>
    </row>
    <row r="382" spans="1:21" ht="9" customHeight="1">
      <c r="A382" s="432"/>
      <c r="B382" s="2" t="s">
        <v>3</v>
      </c>
      <c r="C382" s="304">
        <v>126</v>
      </c>
      <c r="D382" s="146" t="s">
        <v>1</v>
      </c>
      <c r="E382" s="258">
        <v>194</v>
      </c>
      <c r="F382" s="146" t="s">
        <v>1</v>
      </c>
      <c r="G382" s="258">
        <v>254</v>
      </c>
      <c r="H382" s="146" t="s">
        <v>1</v>
      </c>
      <c r="I382" s="258">
        <v>367</v>
      </c>
      <c r="J382" s="146" t="s">
        <v>1</v>
      </c>
      <c r="K382" s="258">
        <v>372</v>
      </c>
      <c r="L382" s="146" t="s">
        <v>1</v>
      </c>
      <c r="M382" s="258">
        <v>482</v>
      </c>
      <c r="N382" s="258">
        <v>460</v>
      </c>
      <c r="O382" s="258">
        <v>576</v>
      </c>
      <c r="P382" s="258">
        <v>563</v>
      </c>
      <c r="Q382" s="258">
        <v>630</v>
      </c>
      <c r="R382" s="146" t="s">
        <v>21</v>
      </c>
      <c r="S382" s="146" t="s">
        <v>21</v>
      </c>
      <c r="T382" s="223" t="s">
        <v>21</v>
      </c>
    </row>
    <row r="383" spans="1:21" ht="9.3000000000000007" customHeight="1">
      <c r="A383" s="432"/>
      <c r="B383" s="2" t="s">
        <v>5</v>
      </c>
      <c r="C383" s="304">
        <v>177</v>
      </c>
      <c r="D383" s="146" t="s">
        <v>1</v>
      </c>
      <c r="E383" s="258">
        <v>235</v>
      </c>
      <c r="F383" s="146" t="s">
        <v>1</v>
      </c>
      <c r="G383" s="258">
        <v>266</v>
      </c>
      <c r="H383" s="146" t="s">
        <v>1</v>
      </c>
      <c r="I383" s="258">
        <v>466</v>
      </c>
      <c r="J383" s="146" t="s">
        <v>1</v>
      </c>
      <c r="K383" s="258">
        <v>499</v>
      </c>
      <c r="L383" s="146" t="s">
        <v>1</v>
      </c>
      <c r="M383" s="258">
        <v>485</v>
      </c>
      <c r="N383" s="258">
        <v>458</v>
      </c>
      <c r="O383" s="258">
        <v>557</v>
      </c>
      <c r="P383" s="258">
        <v>536</v>
      </c>
      <c r="Q383" s="146" t="s">
        <v>21</v>
      </c>
      <c r="R383" s="146" t="s">
        <v>21</v>
      </c>
      <c r="S383" s="146" t="s">
        <v>21</v>
      </c>
      <c r="T383" s="223" t="s">
        <v>21</v>
      </c>
    </row>
    <row r="384" spans="1:21" ht="10.8" customHeight="1">
      <c r="A384" s="433"/>
      <c r="B384" s="185" t="s">
        <v>7</v>
      </c>
      <c r="C384" s="307">
        <v>233</v>
      </c>
      <c r="D384" s="149" t="s">
        <v>1</v>
      </c>
      <c r="E384" s="259">
        <v>327</v>
      </c>
      <c r="F384" s="149" t="s">
        <v>1</v>
      </c>
      <c r="G384" s="259">
        <v>394</v>
      </c>
      <c r="H384" s="149" t="s">
        <v>1</v>
      </c>
      <c r="I384" s="259">
        <v>658</v>
      </c>
      <c r="J384" s="149" t="s">
        <v>1</v>
      </c>
      <c r="K384" s="259">
        <v>685</v>
      </c>
      <c r="L384" s="149" t="s">
        <v>1</v>
      </c>
      <c r="M384" s="259">
        <v>818</v>
      </c>
      <c r="N384" s="259">
        <v>809</v>
      </c>
      <c r="O384" s="259">
        <v>905</v>
      </c>
      <c r="P384" s="259">
        <v>903</v>
      </c>
      <c r="Q384" s="149" t="s">
        <v>21</v>
      </c>
      <c r="R384" s="149" t="s">
        <v>21</v>
      </c>
      <c r="S384" s="149" t="s">
        <v>21</v>
      </c>
      <c r="T384" s="225" t="s">
        <v>21</v>
      </c>
    </row>
    <row r="385" spans="1:20" ht="10.5" customHeight="1">
      <c r="A385" s="83">
        <v>28</v>
      </c>
      <c r="B385" s="184" t="s">
        <v>2</v>
      </c>
      <c r="C385" s="318">
        <v>60.5</v>
      </c>
      <c r="D385" s="85" t="s">
        <v>1</v>
      </c>
      <c r="E385" s="262">
        <v>91.2</v>
      </c>
      <c r="F385" s="85" t="s">
        <v>1</v>
      </c>
      <c r="G385" s="237">
        <v>117</v>
      </c>
      <c r="H385" s="85" t="s">
        <v>1</v>
      </c>
      <c r="I385" s="237">
        <v>152</v>
      </c>
      <c r="J385" s="85" t="s">
        <v>1</v>
      </c>
      <c r="K385" s="237">
        <v>172</v>
      </c>
      <c r="L385" s="237">
        <v>159</v>
      </c>
      <c r="M385" s="237">
        <v>139</v>
      </c>
      <c r="N385" s="237">
        <v>126</v>
      </c>
      <c r="O385" s="237">
        <v>215</v>
      </c>
      <c r="P385" s="237">
        <v>212</v>
      </c>
      <c r="Q385" s="85" t="s">
        <v>21</v>
      </c>
      <c r="R385" s="85" t="s">
        <v>21</v>
      </c>
      <c r="S385" s="85" t="s">
        <v>21</v>
      </c>
      <c r="T385" s="221" t="s">
        <v>21</v>
      </c>
    </row>
    <row r="386" spans="1:20" ht="9" customHeight="1">
      <c r="A386" s="432"/>
      <c r="B386" s="2" t="s">
        <v>3</v>
      </c>
      <c r="C386" s="304">
        <v>121</v>
      </c>
      <c r="D386" s="146" t="s">
        <v>1</v>
      </c>
      <c r="E386" s="258">
        <v>196</v>
      </c>
      <c r="F386" s="146" t="s">
        <v>1</v>
      </c>
      <c r="G386" s="258">
        <v>255</v>
      </c>
      <c r="H386" s="146" t="s">
        <v>1</v>
      </c>
      <c r="I386" s="258">
        <v>357</v>
      </c>
      <c r="J386" s="146" t="s">
        <v>1</v>
      </c>
      <c r="K386" s="258">
        <v>372</v>
      </c>
      <c r="L386" s="258">
        <v>389</v>
      </c>
      <c r="M386" s="258">
        <v>493</v>
      </c>
      <c r="N386" s="258">
        <v>502</v>
      </c>
      <c r="O386" s="258">
        <v>583</v>
      </c>
      <c r="P386" s="258">
        <v>601</v>
      </c>
      <c r="Q386" s="258">
        <v>673</v>
      </c>
      <c r="R386" s="146" t="s">
        <v>21</v>
      </c>
      <c r="S386" s="146" t="s">
        <v>21</v>
      </c>
      <c r="T386" s="223" t="s">
        <v>21</v>
      </c>
    </row>
    <row r="387" spans="1:20" ht="9.3000000000000007" customHeight="1">
      <c r="A387" s="432"/>
      <c r="B387" s="2" t="s">
        <v>5</v>
      </c>
      <c r="C387" s="304">
        <v>167</v>
      </c>
      <c r="D387" s="146" t="s">
        <v>1</v>
      </c>
      <c r="E387" s="258">
        <v>237</v>
      </c>
      <c r="F387" s="146" t="s">
        <v>1</v>
      </c>
      <c r="G387" s="258">
        <v>267</v>
      </c>
      <c r="H387" s="146" t="s">
        <v>1</v>
      </c>
      <c r="I387" s="258">
        <v>450</v>
      </c>
      <c r="J387" s="146" t="s">
        <v>1</v>
      </c>
      <c r="K387" s="258">
        <v>491</v>
      </c>
      <c r="L387" s="258">
        <v>520</v>
      </c>
      <c r="M387" s="258">
        <v>496</v>
      </c>
      <c r="N387" s="258">
        <v>499</v>
      </c>
      <c r="O387" s="258">
        <v>564</v>
      </c>
      <c r="P387" s="258">
        <v>575</v>
      </c>
      <c r="Q387" s="146" t="s">
        <v>21</v>
      </c>
      <c r="R387" s="146" t="s">
        <v>21</v>
      </c>
      <c r="S387" s="146" t="s">
        <v>21</v>
      </c>
      <c r="T387" s="223" t="s">
        <v>21</v>
      </c>
    </row>
    <row r="388" spans="1:20" ht="10.8" customHeight="1">
      <c r="A388" s="433"/>
      <c r="B388" s="185" t="s">
        <v>7</v>
      </c>
      <c r="C388" s="307">
        <v>220</v>
      </c>
      <c r="D388" s="149" t="s">
        <v>1</v>
      </c>
      <c r="E388" s="259">
        <v>330</v>
      </c>
      <c r="F388" s="149" t="s">
        <v>1</v>
      </c>
      <c r="G388" s="259">
        <v>389</v>
      </c>
      <c r="H388" s="149" t="s">
        <v>1</v>
      </c>
      <c r="I388" s="259">
        <v>630</v>
      </c>
      <c r="J388" s="149" t="s">
        <v>1</v>
      </c>
      <c r="K388" s="259">
        <v>666</v>
      </c>
      <c r="L388" s="259">
        <v>720</v>
      </c>
      <c r="M388" s="259">
        <v>815</v>
      </c>
      <c r="N388" s="259">
        <v>837</v>
      </c>
      <c r="O388" s="259">
        <v>894</v>
      </c>
      <c r="P388" s="259">
        <v>926</v>
      </c>
      <c r="Q388" s="149" t="s">
        <v>21</v>
      </c>
      <c r="R388" s="149" t="s">
        <v>21</v>
      </c>
      <c r="S388" s="149" t="s">
        <v>21</v>
      </c>
      <c r="T388" s="225" t="s">
        <v>21</v>
      </c>
    </row>
    <row r="389" spans="1:20" ht="10.5" customHeight="1">
      <c r="A389" s="431">
        <v>31.5</v>
      </c>
      <c r="B389" s="184" t="s">
        <v>2</v>
      </c>
      <c r="C389" s="318">
        <v>59.6</v>
      </c>
      <c r="D389" s="262">
        <v>67.8</v>
      </c>
      <c r="E389" s="262">
        <v>90</v>
      </c>
      <c r="F389" s="262">
        <v>97.6</v>
      </c>
      <c r="G389" s="237">
        <v>116</v>
      </c>
      <c r="H389" s="237">
        <v>117</v>
      </c>
      <c r="I389" s="237">
        <v>152</v>
      </c>
      <c r="J389" s="237">
        <v>174</v>
      </c>
      <c r="K389" s="237">
        <v>178</v>
      </c>
      <c r="L389" s="237">
        <v>182</v>
      </c>
      <c r="M389" s="237">
        <v>163</v>
      </c>
      <c r="N389" s="237">
        <v>154</v>
      </c>
      <c r="O389" s="237">
        <v>235</v>
      </c>
      <c r="P389" s="237">
        <v>236</v>
      </c>
      <c r="Q389" s="85" t="s">
        <v>21</v>
      </c>
      <c r="R389" s="85" t="s">
        <v>21</v>
      </c>
      <c r="S389" s="85" t="s">
        <v>21</v>
      </c>
      <c r="T389" s="221" t="s">
        <v>21</v>
      </c>
    </row>
    <row r="390" spans="1:20" ht="9" customHeight="1">
      <c r="A390" s="432"/>
      <c r="B390" s="2" t="s">
        <v>3</v>
      </c>
      <c r="C390" s="304">
        <v>118</v>
      </c>
      <c r="D390" s="258">
        <v>134</v>
      </c>
      <c r="E390" s="258">
        <v>189</v>
      </c>
      <c r="F390" s="258">
        <v>204</v>
      </c>
      <c r="G390" s="258">
        <v>249</v>
      </c>
      <c r="H390" s="258">
        <v>254</v>
      </c>
      <c r="I390" s="258">
        <v>348</v>
      </c>
      <c r="J390" s="258">
        <v>404</v>
      </c>
      <c r="K390" s="258">
        <v>369</v>
      </c>
      <c r="L390" s="258">
        <v>403</v>
      </c>
      <c r="M390" s="258">
        <v>502</v>
      </c>
      <c r="N390" s="258">
        <v>510</v>
      </c>
      <c r="O390" s="258">
        <v>587</v>
      </c>
      <c r="P390" s="258">
        <v>605</v>
      </c>
      <c r="Q390" s="258">
        <v>701</v>
      </c>
      <c r="R390" s="146" t="s">
        <v>21</v>
      </c>
      <c r="S390" s="146" t="s">
        <v>21</v>
      </c>
      <c r="T390" s="223" t="s">
        <v>21</v>
      </c>
    </row>
    <row r="391" spans="1:20" ht="9.3000000000000007" customHeight="1">
      <c r="A391" s="432"/>
      <c r="B391" s="2" t="s">
        <v>5</v>
      </c>
      <c r="C391" s="304">
        <v>161</v>
      </c>
      <c r="D391" s="258">
        <v>181</v>
      </c>
      <c r="E391" s="258">
        <v>230</v>
      </c>
      <c r="F391" s="258">
        <v>241</v>
      </c>
      <c r="G391" s="258">
        <v>261</v>
      </c>
      <c r="H391" s="258">
        <v>263</v>
      </c>
      <c r="I391" s="258">
        <v>439</v>
      </c>
      <c r="J391" s="258">
        <v>498</v>
      </c>
      <c r="K391" s="258">
        <v>485</v>
      </c>
      <c r="L391" s="258">
        <v>525</v>
      </c>
      <c r="M391" s="258">
        <v>506</v>
      </c>
      <c r="N391" s="258">
        <v>509</v>
      </c>
      <c r="O391" s="258">
        <v>571</v>
      </c>
      <c r="P391" s="258">
        <v>581</v>
      </c>
      <c r="Q391" s="146" t="s">
        <v>21</v>
      </c>
      <c r="R391" s="146" t="s">
        <v>21</v>
      </c>
      <c r="S391" s="146" t="s">
        <v>21</v>
      </c>
      <c r="T391" s="223" t="s">
        <v>21</v>
      </c>
    </row>
    <row r="392" spans="1:20" ht="10.8" customHeight="1">
      <c r="A392" s="433"/>
      <c r="B392" s="185" t="s">
        <v>7</v>
      </c>
      <c r="C392" s="307">
        <v>212</v>
      </c>
      <c r="D392" s="259">
        <v>238</v>
      </c>
      <c r="E392" s="259">
        <v>317</v>
      </c>
      <c r="F392" s="259">
        <v>336</v>
      </c>
      <c r="G392" s="259">
        <v>379</v>
      </c>
      <c r="H392" s="259">
        <v>387</v>
      </c>
      <c r="I392" s="259">
        <v>612</v>
      </c>
      <c r="J392" s="259">
        <v>702</v>
      </c>
      <c r="K392" s="259">
        <v>653</v>
      </c>
      <c r="L392" s="259">
        <v>718</v>
      </c>
      <c r="M392" s="259">
        <v>810</v>
      </c>
      <c r="N392" s="259">
        <v>831</v>
      </c>
      <c r="O392" s="259">
        <v>886</v>
      </c>
      <c r="P392" s="259">
        <v>913</v>
      </c>
      <c r="Q392" s="149" t="s">
        <v>21</v>
      </c>
      <c r="R392" s="149" t="s">
        <v>21</v>
      </c>
      <c r="S392" s="149" t="s">
        <v>21</v>
      </c>
      <c r="T392" s="225" t="s">
        <v>21</v>
      </c>
    </row>
    <row r="393" spans="1:20" ht="10.5" customHeight="1">
      <c r="A393" s="431">
        <v>35.5</v>
      </c>
      <c r="B393" s="184" t="s">
        <v>2</v>
      </c>
      <c r="C393" s="318">
        <v>58.3</v>
      </c>
      <c r="D393" s="262">
        <v>66.2</v>
      </c>
      <c r="E393" s="262">
        <v>88.5</v>
      </c>
      <c r="F393" s="237">
        <v>100</v>
      </c>
      <c r="G393" s="237">
        <v>115</v>
      </c>
      <c r="H393" s="237">
        <v>120</v>
      </c>
      <c r="I393" s="237">
        <v>153</v>
      </c>
      <c r="J393" s="237">
        <v>176</v>
      </c>
      <c r="K393" s="237">
        <v>182</v>
      </c>
      <c r="L393" s="237">
        <v>194</v>
      </c>
      <c r="M393" s="237">
        <v>188</v>
      </c>
      <c r="N393" s="237">
        <v>178</v>
      </c>
      <c r="O393" s="237">
        <v>255</v>
      </c>
      <c r="P393" s="237">
        <v>255</v>
      </c>
      <c r="Q393" s="237">
        <v>232</v>
      </c>
      <c r="R393" s="237">
        <v>214</v>
      </c>
      <c r="S393" s="237">
        <v>318</v>
      </c>
      <c r="T393" s="221" t="s">
        <v>21</v>
      </c>
    </row>
    <row r="394" spans="1:20" ht="9" customHeight="1">
      <c r="A394" s="432"/>
      <c r="B394" s="2" t="s">
        <v>3</v>
      </c>
      <c r="C394" s="304">
        <v>115</v>
      </c>
      <c r="D394" s="258">
        <v>129</v>
      </c>
      <c r="E394" s="258">
        <v>184</v>
      </c>
      <c r="F394" s="258">
        <v>206</v>
      </c>
      <c r="G394" s="258">
        <v>241</v>
      </c>
      <c r="H394" s="258">
        <v>254</v>
      </c>
      <c r="I394" s="258">
        <v>340</v>
      </c>
      <c r="J394" s="258">
        <v>391</v>
      </c>
      <c r="K394" s="258">
        <v>363</v>
      </c>
      <c r="L394" s="258">
        <v>400</v>
      </c>
      <c r="M394" s="258">
        <v>503</v>
      </c>
      <c r="N394" s="258">
        <v>518</v>
      </c>
      <c r="O394" s="258">
        <v>581</v>
      </c>
      <c r="P394" s="258">
        <v>608</v>
      </c>
      <c r="Q394" s="258">
        <v>715</v>
      </c>
      <c r="R394" s="258">
        <v>726</v>
      </c>
      <c r="S394" s="258">
        <v>740</v>
      </c>
      <c r="T394" s="223" t="s">
        <v>21</v>
      </c>
    </row>
    <row r="395" spans="1:20" ht="9.3000000000000007" customHeight="1">
      <c r="A395" s="432"/>
      <c r="B395" s="2" t="s">
        <v>5</v>
      </c>
      <c r="C395" s="304">
        <v>154</v>
      </c>
      <c r="D395" s="258">
        <v>171</v>
      </c>
      <c r="E395" s="258">
        <v>223</v>
      </c>
      <c r="F395" s="258">
        <v>243</v>
      </c>
      <c r="G395" s="258">
        <v>253</v>
      </c>
      <c r="H395" s="258">
        <v>263</v>
      </c>
      <c r="I395" s="258">
        <v>428</v>
      </c>
      <c r="J395" s="258">
        <v>480</v>
      </c>
      <c r="K395" s="258">
        <v>476</v>
      </c>
      <c r="L395" s="258">
        <v>515</v>
      </c>
      <c r="M395" s="258">
        <v>509</v>
      </c>
      <c r="N395" s="258">
        <v>518</v>
      </c>
      <c r="O395" s="258">
        <v>569</v>
      </c>
      <c r="P395" s="258">
        <v>586</v>
      </c>
      <c r="Q395" s="146" t="s">
        <v>21</v>
      </c>
      <c r="R395" s="146" t="s">
        <v>21</v>
      </c>
      <c r="S395" s="146" t="s">
        <v>21</v>
      </c>
      <c r="T395" s="223" t="s">
        <v>21</v>
      </c>
    </row>
    <row r="396" spans="1:20" ht="10.8" customHeight="1">
      <c r="A396" s="433"/>
      <c r="B396" s="185" t="s">
        <v>7</v>
      </c>
      <c r="C396" s="307">
        <v>203</v>
      </c>
      <c r="D396" s="259">
        <v>226</v>
      </c>
      <c r="E396" s="259">
        <v>307</v>
      </c>
      <c r="F396" s="259">
        <v>338</v>
      </c>
      <c r="G396" s="259">
        <v>368</v>
      </c>
      <c r="H396" s="259">
        <v>382</v>
      </c>
      <c r="I396" s="259">
        <v>594</v>
      </c>
      <c r="J396" s="259">
        <v>671</v>
      </c>
      <c r="K396" s="259">
        <v>637</v>
      </c>
      <c r="L396" s="259">
        <v>697</v>
      </c>
      <c r="M396" s="259">
        <v>792</v>
      </c>
      <c r="N396" s="259">
        <v>825</v>
      </c>
      <c r="O396" s="259">
        <v>861</v>
      </c>
      <c r="P396" s="259">
        <v>903</v>
      </c>
      <c r="Q396" s="149" t="s">
        <v>21</v>
      </c>
      <c r="R396" s="149" t="s">
        <v>21</v>
      </c>
      <c r="S396" s="149" t="s">
        <v>21</v>
      </c>
      <c r="T396" s="225" t="s">
        <v>21</v>
      </c>
    </row>
    <row r="397" spans="1:20" ht="10.5" customHeight="1">
      <c r="A397" s="83">
        <v>40</v>
      </c>
      <c r="B397" s="184" t="s">
        <v>2</v>
      </c>
      <c r="C397" s="318">
        <v>55.8</v>
      </c>
      <c r="D397" s="262">
        <v>65</v>
      </c>
      <c r="E397" s="262">
        <v>85.8</v>
      </c>
      <c r="F397" s="262">
        <v>98.1</v>
      </c>
      <c r="G397" s="237">
        <v>112</v>
      </c>
      <c r="H397" s="237">
        <v>119</v>
      </c>
      <c r="I397" s="237">
        <v>151</v>
      </c>
      <c r="J397" s="237">
        <v>175</v>
      </c>
      <c r="K397" s="237">
        <v>185</v>
      </c>
      <c r="L397" s="237">
        <v>200</v>
      </c>
      <c r="M397" s="237">
        <v>198</v>
      </c>
      <c r="N397" s="237">
        <v>200</v>
      </c>
      <c r="O397" s="237">
        <v>262</v>
      </c>
      <c r="P397" s="237">
        <v>273</v>
      </c>
      <c r="Q397" s="237">
        <v>263</v>
      </c>
      <c r="R397" s="237">
        <v>256</v>
      </c>
      <c r="S397" s="85" t="s">
        <v>21</v>
      </c>
      <c r="T397" s="221" t="s">
        <v>21</v>
      </c>
    </row>
    <row r="398" spans="1:20" ht="9" customHeight="1">
      <c r="A398" s="1"/>
      <c r="B398" s="2" t="s">
        <v>3</v>
      </c>
      <c r="C398" s="304">
        <v>109</v>
      </c>
      <c r="D398" s="258">
        <v>126</v>
      </c>
      <c r="E398" s="258">
        <v>175</v>
      </c>
      <c r="F398" s="258">
        <v>199</v>
      </c>
      <c r="G398" s="258">
        <v>230</v>
      </c>
      <c r="H398" s="258">
        <v>248</v>
      </c>
      <c r="I398" s="258">
        <v>330</v>
      </c>
      <c r="J398" s="258">
        <v>382</v>
      </c>
      <c r="K398" s="258">
        <v>356</v>
      </c>
      <c r="L398" s="258">
        <v>396</v>
      </c>
      <c r="M398" s="258">
        <v>497</v>
      </c>
      <c r="N398" s="258">
        <v>520</v>
      </c>
      <c r="O398" s="258">
        <v>570</v>
      </c>
      <c r="P398" s="258">
        <v>600</v>
      </c>
      <c r="Q398" s="258">
        <v>720</v>
      </c>
      <c r="R398" s="258">
        <v>738</v>
      </c>
      <c r="S398" s="258">
        <v>790</v>
      </c>
      <c r="T398" s="310">
        <v>762</v>
      </c>
    </row>
    <row r="399" spans="1:20" ht="9.3000000000000007" customHeight="1">
      <c r="A399" s="1"/>
      <c r="B399" s="2" t="s">
        <v>5</v>
      </c>
      <c r="C399" s="304">
        <v>142</v>
      </c>
      <c r="D399" s="258">
        <v>164</v>
      </c>
      <c r="E399" s="258">
        <v>213</v>
      </c>
      <c r="F399" s="258">
        <v>235</v>
      </c>
      <c r="G399" s="258">
        <v>242</v>
      </c>
      <c r="H399" s="258">
        <v>256</v>
      </c>
      <c r="I399" s="258">
        <v>416</v>
      </c>
      <c r="J399" s="258">
        <v>468</v>
      </c>
      <c r="K399" s="258">
        <v>466</v>
      </c>
      <c r="L399" s="258">
        <v>508</v>
      </c>
      <c r="M399" s="258">
        <v>505</v>
      </c>
      <c r="N399" s="258">
        <v>521</v>
      </c>
      <c r="O399" s="258">
        <v>560</v>
      </c>
      <c r="P399" s="258">
        <v>582</v>
      </c>
      <c r="Q399" s="146" t="s">
        <v>21</v>
      </c>
      <c r="R399" s="146" t="s">
        <v>21</v>
      </c>
      <c r="S399" s="146" t="s">
        <v>21</v>
      </c>
      <c r="T399" s="223" t="s">
        <v>21</v>
      </c>
    </row>
    <row r="400" spans="1:20" ht="10.8" customHeight="1">
      <c r="A400" s="45"/>
      <c r="B400" s="185" t="s">
        <v>7</v>
      </c>
      <c r="C400" s="307">
        <v>189</v>
      </c>
      <c r="D400" s="259">
        <v>217</v>
      </c>
      <c r="E400" s="259">
        <v>292</v>
      </c>
      <c r="F400" s="259">
        <v>325</v>
      </c>
      <c r="G400" s="259">
        <v>349</v>
      </c>
      <c r="H400" s="259">
        <v>371</v>
      </c>
      <c r="I400" s="259">
        <v>573</v>
      </c>
      <c r="J400" s="259">
        <v>652</v>
      </c>
      <c r="K400" s="259">
        <v>619</v>
      </c>
      <c r="L400" s="259">
        <v>683</v>
      </c>
      <c r="M400" s="259">
        <v>774</v>
      </c>
      <c r="N400" s="259">
        <v>807</v>
      </c>
      <c r="O400" s="259">
        <v>838</v>
      </c>
      <c r="P400" s="259">
        <v>876</v>
      </c>
      <c r="Q400" s="149" t="s">
        <v>21</v>
      </c>
      <c r="R400" s="149" t="s">
        <v>21</v>
      </c>
      <c r="S400" s="149" t="s">
        <v>21</v>
      </c>
      <c r="T400" s="225" t="s">
        <v>21</v>
      </c>
    </row>
    <row r="401" spans="1:20" ht="10.5" customHeight="1">
      <c r="A401" s="83">
        <v>45</v>
      </c>
      <c r="B401" s="184" t="s">
        <v>2</v>
      </c>
      <c r="C401" s="318">
        <v>54</v>
      </c>
      <c r="D401" s="262">
        <v>63.5</v>
      </c>
      <c r="E401" s="262">
        <v>83.6</v>
      </c>
      <c r="F401" s="262">
        <v>96.3</v>
      </c>
      <c r="G401" s="237">
        <v>109</v>
      </c>
      <c r="H401" s="237">
        <v>118</v>
      </c>
      <c r="I401" s="237">
        <v>153</v>
      </c>
      <c r="J401" s="237">
        <v>175</v>
      </c>
      <c r="K401" s="237">
        <v>185</v>
      </c>
      <c r="L401" s="237">
        <v>203</v>
      </c>
      <c r="M401" s="237">
        <v>205</v>
      </c>
      <c r="N401" s="237">
        <v>210</v>
      </c>
      <c r="O401" s="237">
        <v>268</v>
      </c>
      <c r="P401" s="237">
        <v>279</v>
      </c>
      <c r="Q401" s="237">
        <v>287</v>
      </c>
      <c r="R401" s="237">
        <v>286</v>
      </c>
      <c r="S401" s="237">
        <v>232</v>
      </c>
      <c r="T401" s="221" t="s">
        <v>21</v>
      </c>
    </row>
    <row r="402" spans="1:20" ht="9" customHeight="1">
      <c r="A402" s="1"/>
      <c r="B402" s="2" t="s">
        <v>3</v>
      </c>
      <c r="C402" s="304">
        <v>104</v>
      </c>
      <c r="D402" s="258">
        <v>122</v>
      </c>
      <c r="E402" s="258">
        <v>169</v>
      </c>
      <c r="F402" s="258">
        <v>194</v>
      </c>
      <c r="G402" s="258">
        <v>220</v>
      </c>
      <c r="H402" s="258">
        <v>240</v>
      </c>
      <c r="I402" s="258">
        <v>327</v>
      </c>
      <c r="J402" s="258">
        <v>372</v>
      </c>
      <c r="K402" s="258">
        <v>348</v>
      </c>
      <c r="L402" s="258">
        <v>389</v>
      </c>
      <c r="M402" s="258">
        <v>497</v>
      </c>
      <c r="N402" s="258">
        <v>512</v>
      </c>
      <c r="O402" s="258">
        <v>568</v>
      </c>
      <c r="P402" s="258">
        <v>588</v>
      </c>
      <c r="Q402" s="258">
        <v>730</v>
      </c>
      <c r="R402" s="258">
        <v>741</v>
      </c>
      <c r="S402" s="258">
        <v>821</v>
      </c>
      <c r="T402" s="310">
        <v>811</v>
      </c>
    </row>
    <row r="403" spans="1:20" ht="9.3000000000000007" customHeight="1">
      <c r="A403" s="1"/>
      <c r="B403" s="2" t="s">
        <v>5</v>
      </c>
      <c r="C403" s="304">
        <v>134</v>
      </c>
      <c r="D403" s="258">
        <v>157</v>
      </c>
      <c r="E403" s="258">
        <v>206</v>
      </c>
      <c r="F403" s="258">
        <v>229</v>
      </c>
      <c r="G403" s="258">
        <v>233</v>
      </c>
      <c r="H403" s="258">
        <v>249</v>
      </c>
      <c r="I403" s="258">
        <v>414</v>
      </c>
      <c r="J403" s="258">
        <v>456</v>
      </c>
      <c r="K403" s="258">
        <v>454</v>
      </c>
      <c r="L403" s="258">
        <v>498</v>
      </c>
      <c r="M403" s="258">
        <v>507</v>
      </c>
      <c r="N403" s="258">
        <v>516</v>
      </c>
      <c r="O403" s="258">
        <v>560</v>
      </c>
      <c r="P403" s="258">
        <v>572</v>
      </c>
      <c r="Q403" s="146" t="s">
        <v>21</v>
      </c>
      <c r="R403" s="146" t="s">
        <v>21</v>
      </c>
      <c r="S403" s="146" t="s">
        <v>21</v>
      </c>
      <c r="T403" s="223" t="s">
        <v>21</v>
      </c>
    </row>
    <row r="404" spans="1:20" ht="10.8" customHeight="1">
      <c r="A404" s="45"/>
      <c r="B404" s="185" t="s">
        <v>7</v>
      </c>
      <c r="C404" s="307">
        <v>179</v>
      </c>
      <c r="D404" s="259">
        <v>208</v>
      </c>
      <c r="E404" s="259">
        <v>282</v>
      </c>
      <c r="F404" s="259">
        <v>315</v>
      </c>
      <c r="G404" s="259">
        <v>335</v>
      </c>
      <c r="H404" s="259">
        <v>360</v>
      </c>
      <c r="I404" s="259">
        <v>568</v>
      </c>
      <c r="J404" s="259">
        <v>631</v>
      </c>
      <c r="K404" s="259">
        <v>600</v>
      </c>
      <c r="L404" s="259">
        <v>665</v>
      </c>
      <c r="M404" s="259">
        <v>769</v>
      </c>
      <c r="N404" s="259">
        <v>788</v>
      </c>
      <c r="O404" s="259">
        <v>832</v>
      </c>
      <c r="P404" s="259">
        <v>852</v>
      </c>
      <c r="Q404" s="149" t="s">
        <v>21</v>
      </c>
      <c r="R404" s="149" t="s">
        <v>21</v>
      </c>
      <c r="S404" s="149" t="s">
        <v>21</v>
      </c>
      <c r="T404" s="225" t="s">
        <v>21</v>
      </c>
    </row>
    <row r="405" spans="1:20" ht="10.5" customHeight="1">
      <c r="A405" s="83">
        <v>50</v>
      </c>
      <c r="B405" s="184" t="s">
        <v>2</v>
      </c>
      <c r="C405" s="318">
        <v>53.5</v>
      </c>
      <c r="D405" s="262">
        <v>60.8</v>
      </c>
      <c r="E405" s="262">
        <v>82.1</v>
      </c>
      <c r="F405" s="262">
        <v>93.1</v>
      </c>
      <c r="G405" s="237">
        <v>113</v>
      </c>
      <c r="H405" s="237">
        <v>115</v>
      </c>
      <c r="I405" s="237">
        <v>161</v>
      </c>
      <c r="J405" s="237">
        <v>172</v>
      </c>
      <c r="K405" s="237">
        <v>204</v>
      </c>
      <c r="L405" s="237">
        <v>204</v>
      </c>
      <c r="M405" s="237">
        <v>255</v>
      </c>
      <c r="N405" s="237">
        <v>218</v>
      </c>
      <c r="O405" s="237">
        <v>301</v>
      </c>
      <c r="P405" s="237">
        <v>284</v>
      </c>
      <c r="Q405" s="237">
        <v>375</v>
      </c>
      <c r="R405" s="237">
        <v>308</v>
      </c>
      <c r="S405" s="237">
        <v>335</v>
      </c>
      <c r="T405" s="316">
        <v>256</v>
      </c>
    </row>
    <row r="406" spans="1:20" ht="9" customHeight="1">
      <c r="A406" s="1"/>
      <c r="B406" s="2" t="s">
        <v>3</v>
      </c>
      <c r="C406" s="304">
        <v>101</v>
      </c>
      <c r="D406" s="258">
        <v>115</v>
      </c>
      <c r="E406" s="258">
        <v>161</v>
      </c>
      <c r="F406" s="258">
        <v>185</v>
      </c>
      <c r="G406" s="258">
        <v>220</v>
      </c>
      <c r="H406" s="258">
        <v>229</v>
      </c>
      <c r="I406" s="258">
        <v>328</v>
      </c>
      <c r="J406" s="258">
        <v>360</v>
      </c>
      <c r="K406" s="258">
        <v>358</v>
      </c>
      <c r="L406" s="258">
        <v>381</v>
      </c>
      <c r="M406" s="258">
        <v>529</v>
      </c>
      <c r="N406" s="258">
        <v>512</v>
      </c>
      <c r="O406" s="258">
        <v>584</v>
      </c>
      <c r="P406" s="258">
        <v>585</v>
      </c>
      <c r="Q406" s="258">
        <v>775</v>
      </c>
      <c r="R406" s="258">
        <v>749</v>
      </c>
      <c r="S406" s="258">
        <v>892</v>
      </c>
      <c r="T406" s="310">
        <v>838</v>
      </c>
    </row>
    <row r="407" spans="1:20" ht="9.3000000000000007" customHeight="1">
      <c r="A407" s="1"/>
      <c r="B407" s="2" t="s">
        <v>5</v>
      </c>
      <c r="C407" s="304">
        <v>131</v>
      </c>
      <c r="D407" s="258">
        <v>145</v>
      </c>
      <c r="E407" s="258">
        <v>198</v>
      </c>
      <c r="F407" s="258">
        <v>219</v>
      </c>
      <c r="G407" s="258">
        <v>234</v>
      </c>
      <c r="H407" s="258">
        <v>238</v>
      </c>
      <c r="I407" s="258">
        <v>412</v>
      </c>
      <c r="J407" s="258">
        <v>442</v>
      </c>
      <c r="K407" s="258">
        <v>461</v>
      </c>
      <c r="L407" s="258">
        <v>487</v>
      </c>
      <c r="M407" s="258">
        <v>540</v>
      </c>
      <c r="N407" s="258">
        <v>518</v>
      </c>
      <c r="O407" s="258">
        <v>577</v>
      </c>
      <c r="P407" s="258">
        <v>572</v>
      </c>
      <c r="Q407" s="146" t="s">
        <v>21</v>
      </c>
      <c r="R407" s="146" t="s">
        <v>21</v>
      </c>
      <c r="S407" s="146" t="s">
        <v>21</v>
      </c>
      <c r="T407" s="223" t="s">
        <v>21</v>
      </c>
    </row>
    <row r="408" spans="1:20" ht="10.8" customHeight="1">
      <c r="A408" s="45"/>
      <c r="B408" s="185" t="s">
        <v>7</v>
      </c>
      <c r="C408" s="307">
        <v>174</v>
      </c>
      <c r="D408" s="259">
        <v>194</v>
      </c>
      <c r="E408" s="259">
        <v>268</v>
      </c>
      <c r="F408" s="259">
        <v>300</v>
      </c>
      <c r="G408" s="259">
        <v>331</v>
      </c>
      <c r="H408" s="259">
        <v>342</v>
      </c>
      <c r="I408" s="259">
        <v>560</v>
      </c>
      <c r="J408" s="259">
        <v>609</v>
      </c>
      <c r="K408" s="259">
        <v>599</v>
      </c>
      <c r="L408" s="259">
        <v>646</v>
      </c>
      <c r="M408" s="259">
        <v>790</v>
      </c>
      <c r="N408" s="259">
        <v>784</v>
      </c>
      <c r="O408" s="259">
        <v>837</v>
      </c>
      <c r="P408" s="259">
        <v>845</v>
      </c>
      <c r="Q408" s="149" t="s">
        <v>21</v>
      </c>
      <c r="R408" s="149" t="s">
        <v>21</v>
      </c>
      <c r="S408" s="149" t="s">
        <v>21</v>
      </c>
      <c r="T408" s="225" t="s">
        <v>21</v>
      </c>
    </row>
    <row r="409" spans="1:20" ht="10.5" customHeight="1">
      <c r="A409" s="83">
        <v>56</v>
      </c>
      <c r="B409" s="184" t="s">
        <v>2</v>
      </c>
      <c r="C409" s="318">
        <v>51.3</v>
      </c>
      <c r="D409" s="262">
        <v>58.7</v>
      </c>
      <c r="E409" s="262">
        <v>78.8</v>
      </c>
      <c r="F409" s="262">
        <v>90.6</v>
      </c>
      <c r="G409" s="237">
        <v>109</v>
      </c>
      <c r="H409" s="237">
        <v>111</v>
      </c>
      <c r="I409" s="237">
        <v>154</v>
      </c>
      <c r="J409" s="237">
        <v>174</v>
      </c>
      <c r="K409" s="237">
        <v>203</v>
      </c>
      <c r="L409" s="237">
        <v>203</v>
      </c>
      <c r="M409" s="237">
        <v>258</v>
      </c>
      <c r="N409" s="237">
        <v>267</v>
      </c>
      <c r="O409" s="237">
        <v>300</v>
      </c>
      <c r="P409" s="237">
        <v>316</v>
      </c>
      <c r="Q409" s="237">
        <v>378</v>
      </c>
      <c r="R409" s="237">
        <v>392</v>
      </c>
      <c r="S409" s="237">
        <v>371</v>
      </c>
      <c r="T409" s="316">
        <v>355</v>
      </c>
    </row>
    <row r="410" spans="1:20" ht="9" customHeight="1">
      <c r="A410" s="1"/>
      <c r="B410" s="2" t="s">
        <v>3</v>
      </c>
      <c r="C410" s="319">
        <v>96.4</v>
      </c>
      <c r="D410" s="258">
        <v>111</v>
      </c>
      <c r="E410" s="258">
        <v>153</v>
      </c>
      <c r="F410" s="258">
        <v>178</v>
      </c>
      <c r="G410" s="258">
        <v>210</v>
      </c>
      <c r="H410" s="258">
        <v>220</v>
      </c>
      <c r="I410" s="258">
        <v>307</v>
      </c>
      <c r="J410" s="258">
        <v>358</v>
      </c>
      <c r="K410" s="258">
        <v>350</v>
      </c>
      <c r="L410" s="258">
        <v>371</v>
      </c>
      <c r="M410" s="258">
        <v>516</v>
      </c>
      <c r="N410" s="258">
        <v>543</v>
      </c>
      <c r="O410" s="258">
        <v>566</v>
      </c>
      <c r="P410" s="258">
        <v>599</v>
      </c>
      <c r="Q410" s="258">
        <v>754</v>
      </c>
      <c r="R410" s="258">
        <v>792</v>
      </c>
      <c r="S410" s="258">
        <v>893</v>
      </c>
      <c r="T410" s="310">
        <v>907</v>
      </c>
    </row>
    <row r="411" spans="1:20" ht="9.3000000000000007" customHeight="1">
      <c r="A411" s="1"/>
      <c r="B411" s="2" t="s">
        <v>5</v>
      </c>
      <c r="C411" s="304">
        <v>123</v>
      </c>
      <c r="D411" s="258">
        <v>137</v>
      </c>
      <c r="E411" s="258">
        <v>189</v>
      </c>
      <c r="F411" s="258">
        <v>211</v>
      </c>
      <c r="G411" s="258">
        <v>224</v>
      </c>
      <c r="H411" s="258">
        <v>229</v>
      </c>
      <c r="I411" s="258">
        <v>389</v>
      </c>
      <c r="J411" s="258">
        <v>440</v>
      </c>
      <c r="K411" s="258">
        <v>450</v>
      </c>
      <c r="L411" s="258">
        <v>474</v>
      </c>
      <c r="M411" s="258">
        <v>528</v>
      </c>
      <c r="N411" s="258">
        <v>550</v>
      </c>
      <c r="O411" s="258">
        <v>562</v>
      </c>
      <c r="P411" s="258">
        <v>588</v>
      </c>
      <c r="Q411" s="146" t="s">
        <v>21</v>
      </c>
      <c r="R411" s="146" t="s">
        <v>21</v>
      </c>
      <c r="S411" s="146" t="s">
        <v>21</v>
      </c>
      <c r="T411" s="223" t="s">
        <v>21</v>
      </c>
    </row>
    <row r="412" spans="1:20" ht="10.8" customHeight="1">
      <c r="A412" s="45"/>
      <c r="B412" s="185" t="s">
        <v>7</v>
      </c>
      <c r="C412" s="307">
        <v>163</v>
      </c>
      <c r="D412" s="259">
        <v>184</v>
      </c>
      <c r="E412" s="259">
        <v>256</v>
      </c>
      <c r="F412" s="259">
        <v>289</v>
      </c>
      <c r="G412" s="259">
        <v>316</v>
      </c>
      <c r="H412" s="259">
        <v>329</v>
      </c>
      <c r="I412" s="259">
        <v>526</v>
      </c>
      <c r="J412" s="259">
        <v>604</v>
      </c>
      <c r="K412" s="259">
        <v>582</v>
      </c>
      <c r="L412" s="259">
        <v>625</v>
      </c>
      <c r="M412" s="259">
        <v>765</v>
      </c>
      <c r="N412" s="259">
        <v>804</v>
      </c>
      <c r="O412" s="259">
        <v>807</v>
      </c>
      <c r="P412" s="259">
        <v>850</v>
      </c>
      <c r="Q412" s="149" t="s">
        <v>21</v>
      </c>
      <c r="R412" s="149" t="s">
        <v>21</v>
      </c>
      <c r="S412" s="149" t="s">
        <v>21</v>
      </c>
      <c r="T412" s="225" t="s">
        <v>21</v>
      </c>
    </row>
    <row r="413" spans="1:20" ht="10.5" customHeight="1">
      <c r="A413" s="83">
        <v>63</v>
      </c>
      <c r="B413" s="184" t="s">
        <v>2</v>
      </c>
      <c r="C413" s="318">
        <v>48.7</v>
      </c>
      <c r="D413" s="262">
        <v>58</v>
      </c>
      <c r="E413" s="262">
        <v>73.8</v>
      </c>
      <c r="F413" s="262">
        <v>88.6</v>
      </c>
      <c r="G413" s="237">
        <v>104</v>
      </c>
      <c r="H413" s="237">
        <v>115</v>
      </c>
      <c r="I413" s="237">
        <v>148</v>
      </c>
      <c r="J413" s="237">
        <v>181</v>
      </c>
      <c r="K413" s="237">
        <v>196</v>
      </c>
      <c r="L413" s="237">
        <v>222</v>
      </c>
      <c r="M413" s="237">
        <v>255</v>
      </c>
      <c r="N413" s="237">
        <v>268</v>
      </c>
      <c r="O413" s="237">
        <v>294</v>
      </c>
      <c r="P413" s="237">
        <v>313</v>
      </c>
      <c r="Q413" s="237">
        <v>372</v>
      </c>
      <c r="R413" s="237">
        <v>395</v>
      </c>
      <c r="S413" s="237">
        <v>392</v>
      </c>
      <c r="T413" s="316">
        <v>389</v>
      </c>
    </row>
    <row r="414" spans="1:20" ht="9" customHeight="1">
      <c r="A414" s="1"/>
      <c r="B414" s="2" t="s">
        <v>3</v>
      </c>
      <c r="C414" s="319">
        <v>91</v>
      </c>
      <c r="D414" s="258">
        <v>108</v>
      </c>
      <c r="E414" s="258">
        <v>143</v>
      </c>
      <c r="F414" s="258">
        <v>169</v>
      </c>
      <c r="G414" s="258">
        <v>199</v>
      </c>
      <c r="H414" s="258">
        <v>219</v>
      </c>
      <c r="I414" s="258">
        <v>292</v>
      </c>
      <c r="J414" s="258">
        <v>357</v>
      </c>
      <c r="K414" s="258">
        <v>335</v>
      </c>
      <c r="L414" s="258">
        <v>381</v>
      </c>
      <c r="M414" s="258">
        <v>497</v>
      </c>
      <c r="N414" s="258">
        <v>529</v>
      </c>
      <c r="O414" s="258">
        <v>543</v>
      </c>
      <c r="P414" s="258">
        <v>580</v>
      </c>
      <c r="Q414" s="258">
        <v>719</v>
      </c>
      <c r="R414" s="258">
        <v>770</v>
      </c>
      <c r="S414" s="258">
        <v>878</v>
      </c>
      <c r="T414" s="310">
        <v>906</v>
      </c>
    </row>
    <row r="415" spans="1:20" ht="9.3000000000000007" customHeight="1">
      <c r="A415" s="1"/>
      <c r="B415" s="2" t="s">
        <v>5</v>
      </c>
      <c r="C415" s="304">
        <v>113</v>
      </c>
      <c r="D415" s="258">
        <v>134</v>
      </c>
      <c r="E415" s="258">
        <v>177</v>
      </c>
      <c r="F415" s="258">
        <v>202</v>
      </c>
      <c r="G415" s="258">
        <v>213</v>
      </c>
      <c r="H415" s="258">
        <v>229</v>
      </c>
      <c r="I415" s="258">
        <v>372</v>
      </c>
      <c r="J415" s="258">
        <v>438</v>
      </c>
      <c r="K415" s="258">
        <v>432</v>
      </c>
      <c r="L415" s="258">
        <v>480</v>
      </c>
      <c r="M415" s="258">
        <v>511</v>
      </c>
      <c r="N415" s="258">
        <v>537</v>
      </c>
      <c r="O415" s="258">
        <v>543</v>
      </c>
      <c r="P415" s="258">
        <v>573</v>
      </c>
      <c r="Q415" s="146" t="s">
        <v>21</v>
      </c>
      <c r="R415" s="146" t="s">
        <v>21</v>
      </c>
      <c r="S415" s="146" t="s">
        <v>21</v>
      </c>
      <c r="T415" s="223" t="s">
        <v>21</v>
      </c>
    </row>
    <row r="416" spans="1:20" ht="10.8" customHeight="1">
      <c r="A416" s="45"/>
      <c r="B416" s="185" t="s">
        <v>7</v>
      </c>
      <c r="C416" s="307">
        <v>151</v>
      </c>
      <c r="D416" s="259">
        <v>178</v>
      </c>
      <c r="E416" s="259">
        <v>239</v>
      </c>
      <c r="F416" s="259">
        <v>275</v>
      </c>
      <c r="G416" s="259">
        <v>299</v>
      </c>
      <c r="H416" s="259">
        <v>324</v>
      </c>
      <c r="I416" s="259">
        <v>500</v>
      </c>
      <c r="J416" s="259">
        <v>595</v>
      </c>
      <c r="K416" s="259">
        <v>557</v>
      </c>
      <c r="L416" s="259">
        <v>624</v>
      </c>
      <c r="M416" s="259">
        <v>734</v>
      </c>
      <c r="N416" s="259">
        <v>777</v>
      </c>
      <c r="O416" s="259">
        <v>772</v>
      </c>
      <c r="P416" s="259">
        <v>820</v>
      </c>
      <c r="Q416" s="149" t="s">
        <v>21</v>
      </c>
      <c r="R416" s="149" t="s">
        <v>21</v>
      </c>
      <c r="S416" s="149" t="s">
        <v>21</v>
      </c>
      <c r="T416" s="225" t="s">
        <v>21</v>
      </c>
    </row>
    <row r="417" spans="1:20" ht="10.5" customHeight="1">
      <c r="A417" s="83">
        <v>71</v>
      </c>
      <c r="B417" s="184" t="s">
        <v>2</v>
      </c>
      <c r="C417" s="318">
        <v>49.3</v>
      </c>
      <c r="D417" s="262">
        <v>55.5</v>
      </c>
      <c r="E417" s="262">
        <v>73</v>
      </c>
      <c r="F417" s="262">
        <v>85.1</v>
      </c>
      <c r="G417" s="237">
        <v>104</v>
      </c>
      <c r="H417" s="237">
        <v>111</v>
      </c>
      <c r="I417" s="237">
        <v>148</v>
      </c>
      <c r="J417" s="237">
        <v>173</v>
      </c>
      <c r="K417" s="237">
        <v>195</v>
      </c>
      <c r="L417" s="237">
        <v>220</v>
      </c>
      <c r="M417" s="237">
        <v>257</v>
      </c>
      <c r="N417" s="237">
        <v>265</v>
      </c>
      <c r="O417" s="237">
        <v>287</v>
      </c>
      <c r="P417" s="237">
        <v>307</v>
      </c>
      <c r="Q417" s="237">
        <v>374</v>
      </c>
      <c r="R417" s="237">
        <v>387</v>
      </c>
      <c r="S417" s="237">
        <v>391</v>
      </c>
      <c r="T417" s="316">
        <v>408</v>
      </c>
    </row>
    <row r="418" spans="1:20" ht="9" customHeight="1">
      <c r="A418" s="1"/>
      <c r="B418" s="2" t="s">
        <v>3</v>
      </c>
      <c r="C418" s="319">
        <v>90.2</v>
      </c>
      <c r="D418" s="258">
        <v>102</v>
      </c>
      <c r="E418" s="258">
        <v>139</v>
      </c>
      <c r="F418" s="258">
        <v>162</v>
      </c>
      <c r="G418" s="258">
        <v>196</v>
      </c>
      <c r="H418" s="258">
        <v>209</v>
      </c>
      <c r="I418" s="258">
        <v>288</v>
      </c>
      <c r="J418" s="258">
        <v>335</v>
      </c>
      <c r="K418" s="258">
        <v>328</v>
      </c>
      <c r="L418" s="258">
        <v>371</v>
      </c>
      <c r="M418" s="258">
        <v>490</v>
      </c>
      <c r="N418" s="258">
        <v>509</v>
      </c>
      <c r="O418" s="258">
        <v>526</v>
      </c>
      <c r="P418" s="258">
        <v>557</v>
      </c>
      <c r="Q418" s="258">
        <v>715</v>
      </c>
      <c r="R418" s="258">
        <v>734</v>
      </c>
      <c r="S418" s="258">
        <v>843</v>
      </c>
      <c r="T418" s="310">
        <v>890</v>
      </c>
    </row>
    <row r="419" spans="1:20" ht="9.3000000000000007" customHeight="1">
      <c r="A419" s="1"/>
      <c r="B419" s="2" t="s">
        <v>5</v>
      </c>
      <c r="C419" s="304">
        <v>113</v>
      </c>
      <c r="D419" s="258">
        <v>125</v>
      </c>
      <c r="E419" s="258">
        <v>173</v>
      </c>
      <c r="F419" s="258">
        <v>194</v>
      </c>
      <c r="G419" s="258">
        <v>211</v>
      </c>
      <c r="H419" s="258">
        <v>220</v>
      </c>
      <c r="I419" s="258">
        <v>367</v>
      </c>
      <c r="J419" s="258">
        <v>413</v>
      </c>
      <c r="K419" s="258">
        <v>423</v>
      </c>
      <c r="L419" s="258">
        <v>469</v>
      </c>
      <c r="M419" s="258">
        <v>506</v>
      </c>
      <c r="N419" s="258">
        <v>520</v>
      </c>
      <c r="O419" s="258">
        <v>527</v>
      </c>
      <c r="P419" s="258">
        <v>552</v>
      </c>
      <c r="Q419" s="146" t="s">
        <v>21</v>
      </c>
      <c r="R419" s="146" t="s">
        <v>21</v>
      </c>
      <c r="S419" s="146" t="s">
        <v>21</v>
      </c>
      <c r="T419" s="223" t="s">
        <v>21</v>
      </c>
    </row>
    <row r="420" spans="1:20" ht="10.8" customHeight="1">
      <c r="A420" s="45"/>
      <c r="B420" s="185" t="s">
        <v>7</v>
      </c>
      <c r="C420" s="307">
        <v>149</v>
      </c>
      <c r="D420" s="259">
        <v>167</v>
      </c>
      <c r="E420" s="259">
        <v>232</v>
      </c>
      <c r="F420" s="259">
        <v>262</v>
      </c>
      <c r="G420" s="259">
        <v>295</v>
      </c>
      <c r="H420" s="259">
        <v>310</v>
      </c>
      <c r="I420" s="259">
        <v>492</v>
      </c>
      <c r="J420" s="259">
        <v>558</v>
      </c>
      <c r="K420" s="259">
        <v>543</v>
      </c>
      <c r="L420" s="259">
        <v>606</v>
      </c>
      <c r="M420" s="259">
        <v>721</v>
      </c>
      <c r="N420" s="259">
        <v>746</v>
      </c>
      <c r="O420" s="259">
        <v>747</v>
      </c>
      <c r="P420" s="259">
        <v>783</v>
      </c>
      <c r="Q420" s="149" t="s">
        <v>21</v>
      </c>
      <c r="R420" s="149" t="s">
        <v>21</v>
      </c>
      <c r="S420" s="149" t="s">
        <v>21</v>
      </c>
      <c r="T420" s="225" t="s">
        <v>21</v>
      </c>
    </row>
    <row r="421" spans="1:20" ht="10.5" customHeight="1">
      <c r="A421" s="83">
        <v>80</v>
      </c>
      <c r="B421" s="184" t="s">
        <v>2</v>
      </c>
      <c r="C421" s="318">
        <v>46.7</v>
      </c>
      <c r="D421" s="262">
        <v>52.7</v>
      </c>
      <c r="E421" s="262">
        <v>71.8</v>
      </c>
      <c r="F421" s="262">
        <v>79.7</v>
      </c>
      <c r="G421" s="237">
        <v>100</v>
      </c>
      <c r="H421" s="237">
        <v>105</v>
      </c>
      <c r="I421" s="237">
        <v>141</v>
      </c>
      <c r="J421" s="237">
        <v>166</v>
      </c>
      <c r="K421" s="237">
        <v>192</v>
      </c>
      <c r="L421" s="237">
        <v>213</v>
      </c>
      <c r="M421" s="237">
        <v>255</v>
      </c>
      <c r="N421" s="237">
        <v>267</v>
      </c>
      <c r="O421" s="237">
        <v>282</v>
      </c>
      <c r="P421" s="237">
        <v>299</v>
      </c>
      <c r="Q421" s="237">
        <v>367</v>
      </c>
      <c r="R421" s="237">
        <v>389</v>
      </c>
      <c r="S421" s="237">
        <v>407</v>
      </c>
      <c r="T421" s="316">
        <v>407</v>
      </c>
    </row>
    <row r="422" spans="1:20" ht="9" customHeight="1">
      <c r="A422" s="1"/>
      <c r="B422" s="2" t="s">
        <v>3</v>
      </c>
      <c r="C422" s="319">
        <v>84.8</v>
      </c>
      <c r="D422" s="320">
        <v>96.4</v>
      </c>
      <c r="E422" s="258">
        <v>136</v>
      </c>
      <c r="F422" s="258">
        <v>150</v>
      </c>
      <c r="G422" s="258">
        <v>186</v>
      </c>
      <c r="H422" s="258">
        <v>197</v>
      </c>
      <c r="I422" s="258">
        <v>273</v>
      </c>
      <c r="J422" s="258">
        <v>318</v>
      </c>
      <c r="K422" s="258">
        <v>320</v>
      </c>
      <c r="L422" s="258">
        <v>356</v>
      </c>
      <c r="M422" s="258">
        <v>478</v>
      </c>
      <c r="N422" s="258">
        <v>503</v>
      </c>
      <c r="O422" s="258">
        <v>511</v>
      </c>
      <c r="P422" s="258">
        <v>539</v>
      </c>
      <c r="Q422" s="258">
        <v>685</v>
      </c>
      <c r="R422" s="258">
        <v>729</v>
      </c>
      <c r="S422" s="258">
        <v>827</v>
      </c>
      <c r="T422" s="310">
        <v>854</v>
      </c>
    </row>
    <row r="423" spans="1:20" ht="9.3000000000000007" customHeight="1">
      <c r="A423" s="1"/>
      <c r="B423" s="2" t="s">
        <v>5</v>
      </c>
      <c r="C423" s="304">
        <v>104</v>
      </c>
      <c r="D423" s="258">
        <v>116</v>
      </c>
      <c r="E423" s="258">
        <v>171</v>
      </c>
      <c r="F423" s="258">
        <v>181</v>
      </c>
      <c r="G423" s="258">
        <v>202</v>
      </c>
      <c r="H423" s="258">
        <v>209</v>
      </c>
      <c r="I423" s="258">
        <v>350</v>
      </c>
      <c r="J423" s="258">
        <v>394</v>
      </c>
      <c r="K423" s="258">
        <v>414</v>
      </c>
      <c r="L423" s="258">
        <v>450</v>
      </c>
      <c r="M423" s="258">
        <v>496</v>
      </c>
      <c r="N423" s="258">
        <v>515</v>
      </c>
      <c r="O423" s="258">
        <v>514</v>
      </c>
      <c r="P423" s="258">
        <v>536</v>
      </c>
      <c r="Q423" s="146" t="s">
        <v>21</v>
      </c>
      <c r="R423" s="146" t="s">
        <v>21</v>
      </c>
      <c r="S423" s="146" t="s">
        <v>21</v>
      </c>
      <c r="T423" s="223" t="s">
        <v>21</v>
      </c>
    </row>
    <row r="424" spans="1:20" ht="10.95" customHeight="1">
      <c r="A424" s="45"/>
      <c r="B424" s="185" t="s">
        <v>7</v>
      </c>
      <c r="C424" s="307">
        <v>138</v>
      </c>
      <c r="D424" s="259">
        <v>155</v>
      </c>
      <c r="E424" s="259">
        <v>228</v>
      </c>
      <c r="F424" s="259">
        <v>245</v>
      </c>
      <c r="G424" s="259">
        <v>280</v>
      </c>
      <c r="H424" s="259">
        <v>294</v>
      </c>
      <c r="I424" s="259">
        <v>467</v>
      </c>
      <c r="J424" s="259">
        <v>530</v>
      </c>
      <c r="K424" s="259">
        <v>530</v>
      </c>
      <c r="L424" s="259">
        <v>579</v>
      </c>
      <c r="M424" s="259">
        <v>699</v>
      </c>
      <c r="N424" s="259">
        <v>732</v>
      </c>
      <c r="O424" s="259">
        <v>725</v>
      </c>
      <c r="P424" s="259">
        <v>758</v>
      </c>
      <c r="Q424" s="149" t="s">
        <v>21</v>
      </c>
      <c r="R424" s="149" t="s">
        <v>21</v>
      </c>
      <c r="S424" s="149" t="s">
        <v>21</v>
      </c>
      <c r="T424" s="225" t="s">
        <v>21</v>
      </c>
    </row>
    <row r="425" spans="1:20" ht="10.199999999999999" customHeight="1">
      <c r="A425" s="83">
        <v>90</v>
      </c>
      <c r="B425" s="184" t="s">
        <v>2</v>
      </c>
      <c r="C425" s="318">
        <v>46</v>
      </c>
      <c r="D425" s="262">
        <v>53.3</v>
      </c>
      <c r="E425" s="262">
        <v>67.8</v>
      </c>
      <c r="F425" s="262">
        <v>78.7</v>
      </c>
      <c r="G425" s="262">
        <v>94.3</v>
      </c>
      <c r="H425" s="237">
        <v>106</v>
      </c>
      <c r="I425" s="237">
        <v>138</v>
      </c>
      <c r="J425" s="237">
        <v>166</v>
      </c>
      <c r="K425" s="237">
        <v>183</v>
      </c>
      <c r="L425" s="237">
        <v>211</v>
      </c>
      <c r="M425" s="237">
        <v>246</v>
      </c>
      <c r="N425" s="237">
        <v>264</v>
      </c>
      <c r="O425" s="237">
        <v>271</v>
      </c>
      <c r="P425" s="237">
        <v>293</v>
      </c>
      <c r="Q425" s="237">
        <v>362</v>
      </c>
      <c r="R425" s="237">
        <v>381</v>
      </c>
      <c r="S425" s="237">
        <v>409</v>
      </c>
      <c r="T425" s="316">
        <v>421</v>
      </c>
    </row>
    <row r="426" spans="1:20" ht="9" customHeight="1">
      <c r="A426" s="1"/>
      <c r="B426" s="2" t="s">
        <v>3</v>
      </c>
      <c r="C426" s="319">
        <v>83.1</v>
      </c>
      <c r="D426" s="320">
        <v>95.5</v>
      </c>
      <c r="E426" s="258">
        <v>128</v>
      </c>
      <c r="F426" s="258">
        <v>146</v>
      </c>
      <c r="G426" s="258">
        <v>175</v>
      </c>
      <c r="H426" s="258">
        <v>195</v>
      </c>
      <c r="I426" s="258">
        <v>265</v>
      </c>
      <c r="J426" s="258">
        <v>313</v>
      </c>
      <c r="K426" s="258">
        <v>303</v>
      </c>
      <c r="L426" s="258">
        <v>348</v>
      </c>
      <c r="M426" s="258">
        <v>454</v>
      </c>
      <c r="N426" s="258">
        <v>489</v>
      </c>
      <c r="O426" s="258">
        <v>485</v>
      </c>
      <c r="P426" s="258">
        <v>523</v>
      </c>
      <c r="Q426" s="258">
        <v>661</v>
      </c>
      <c r="R426" s="258">
        <v>699</v>
      </c>
      <c r="S426" s="258">
        <v>811</v>
      </c>
      <c r="T426" s="310">
        <v>837</v>
      </c>
    </row>
    <row r="427" spans="1:20" ht="9.3000000000000007" customHeight="1">
      <c r="A427" s="1"/>
      <c r="B427" s="2" t="s">
        <v>5</v>
      </c>
      <c r="C427" s="304">
        <v>100</v>
      </c>
      <c r="D427" s="258">
        <v>115</v>
      </c>
      <c r="E427" s="258">
        <v>159</v>
      </c>
      <c r="F427" s="258">
        <v>177</v>
      </c>
      <c r="G427" s="258">
        <v>191</v>
      </c>
      <c r="H427" s="258">
        <v>207</v>
      </c>
      <c r="I427" s="258">
        <v>342</v>
      </c>
      <c r="J427" s="258">
        <v>390</v>
      </c>
      <c r="K427" s="258">
        <v>394</v>
      </c>
      <c r="L427" s="258">
        <v>440</v>
      </c>
      <c r="M427" s="258">
        <v>473</v>
      </c>
      <c r="N427" s="258">
        <v>504</v>
      </c>
      <c r="O427" s="258">
        <v>491</v>
      </c>
      <c r="P427" s="258">
        <v>523</v>
      </c>
      <c r="Q427" s="146" t="s">
        <v>21</v>
      </c>
      <c r="R427" s="146" t="s">
        <v>21</v>
      </c>
      <c r="S427" s="146" t="s">
        <v>21</v>
      </c>
      <c r="T427" s="223" t="s">
        <v>21</v>
      </c>
    </row>
    <row r="428" spans="1:20" ht="10.95" customHeight="1">
      <c r="A428" s="45"/>
      <c r="B428" s="185" t="s">
        <v>7</v>
      </c>
      <c r="C428" s="307">
        <v>133</v>
      </c>
      <c r="D428" s="259">
        <v>153</v>
      </c>
      <c r="E428" s="259">
        <v>212</v>
      </c>
      <c r="F428" s="259">
        <v>238</v>
      </c>
      <c r="G428" s="259">
        <v>265</v>
      </c>
      <c r="H428" s="259">
        <v>289</v>
      </c>
      <c r="I428" s="259">
        <v>455</v>
      </c>
      <c r="J428" s="259">
        <v>522</v>
      </c>
      <c r="K428" s="259">
        <v>502</v>
      </c>
      <c r="L428" s="259">
        <v>564</v>
      </c>
      <c r="M428" s="259">
        <v>663</v>
      </c>
      <c r="N428" s="259">
        <v>710</v>
      </c>
      <c r="O428" s="259">
        <v>688</v>
      </c>
      <c r="P428" s="259">
        <v>735</v>
      </c>
      <c r="Q428" s="149" t="s">
        <v>21</v>
      </c>
      <c r="R428" s="149" t="s">
        <v>21</v>
      </c>
      <c r="S428" s="149" t="s">
        <v>21</v>
      </c>
      <c r="T428" s="225" t="s">
        <v>21</v>
      </c>
    </row>
    <row r="429" spans="1:20" ht="10.199999999999999" customHeight="1">
      <c r="A429" s="83">
        <v>100</v>
      </c>
      <c r="B429" s="184" t="s">
        <v>2</v>
      </c>
      <c r="C429" s="153" t="s">
        <v>1</v>
      </c>
      <c r="D429" s="262">
        <v>50.3</v>
      </c>
      <c r="E429" s="85" t="s">
        <v>1</v>
      </c>
      <c r="F429" s="262">
        <v>77.3</v>
      </c>
      <c r="G429" s="85" t="s">
        <v>1</v>
      </c>
      <c r="H429" s="237">
        <v>101</v>
      </c>
      <c r="I429" s="85" t="s">
        <v>1</v>
      </c>
      <c r="J429" s="237">
        <v>158</v>
      </c>
      <c r="K429" s="85" t="s">
        <v>1</v>
      </c>
      <c r="L429" s="237">
        <v>207</v>
      </c>
      <c r="M429" s="85" t="s">
        <v>1</v>
      </c>
      <c r="N429" s="237">
        <v>255</v>
      </c>
      <c r="O429" s="85" t="s">
        <v>1</v>
      </c>
      <c r="P429" s="237">
        <v>281</v>
      </c>
      <c r="Q429" s="85" t="s">
        <v>1</v>
      </c>
      <c r="R429" s="237">
        <v>375</v>
      </c>
      <c r="S429" s="85" t="s">
        <v>1</v>
      </c>
      <c r="T429" s="316">
        <v>421</v>
      </c>
    </row>
    <row r="430" spans="1:20" ht="9" customHeight="1">
      <c r="A430" s="1"/>
      <c r="B430" s="2" t="s">
        <v>3</v>
      </c>
      <c r="C430" s="154" t="s">
        <v>1</v>
      </c>
      <c r="D430" s="320">
        <v>89.8</v>
      </c>
      <c r="E430" s="146" t="s">
        <v>1</v>
      </c>
      <c r="F430" s="258">
        <v>143</v>
      </c>
      <c r="G430" s="146" t="s">
        <v>1</v>
      </c>
      <c r="H430" s="258">
        <v>185</v>
      </c>
      <c r="I430" s="146" t="s">
        <v>1</v>
      </c>
      <c r="J430" s="258">
        <v>297</v>
      </c>
      <c r="K430" s="146" t="s">
        <v>1</v>
      </c>
      <c r="L430" s="258">
        <v>339</v>
      </c>
      <c r="M430" s="146" t="s">
        <v>1</v>
      </c>
      <c r="N430" s="258">
        <v>465</v>
      </c>
      <c r="O430" s="146" t="s">
        <v>1</v>
      </c>
      <c r="P430" s="258">
        <v>497</v>
      </c>
      <c r="Q430" s="146" t="s">
        <v>1</v>
      </c>
      <c r="R430" s="258">
        <v>674</v>
      </c>
      <c r="S430" s="146" t="s">
        <v>1</v>
      </c>
      <c r="T430" s="310">
        <v>821</v>
      </c>
    </row>
    <row r="431" spans="1:20" ht="9.3000000000000007" customHeight="1">
      <c r="A431" s="1"/>
      <c r="B431" s="2" t="s">
        <v>5</v>
      </c>
      <c r="C431" s="154" t="s">
        <v>1</v>
      </c>
      <c r="D431" s="258">
        <v>106</v>
      </c>
      <c r="E431" s="146" t="s">
        <v>1</v>
      </c>
      <c r="F431" s="258">
        <v>175</v>
      </c>
      <c r="G431" s="146" t="s">
        <v>1</v>
      </c>
      <c r="H431" s="258">
        <v>198</v>
      </c>
      <c r="I431" s="146" t="s">
        <v>1</v>
      </c>
      <c r="J431" s="258">
        <v>371</v>
      </c>
      <c r="K431" s="146" t="s">
        <v>1</v>
      </c>
      <c r="L431" s="258">
        <v>431</v>
      </c>
      <c r="M431" s="146" t="s">
        <v>1</v>
      </c>
      <c r="N431" s="258">
        <v>481</v>
      </c>
      <c r="O431" s="146" t="s">
        <v>1</v>
      </c>
      <c r="P431" s="258">
        <v>499</v>
      </c>
      <c r="Q431" s="146" t="s">
        <v>1</v>
      </c>
      <c r="R431" s="146" t="s">
        <v>21</v>
      </c>
      <c r="S431" s="146" t="s">
        <v>1</v>
      </c>
      <c r="T431" s="223" t="s">
        <v>21</v>
      </c>
    </row>
    <row r="432" spans="1:20" ht="10.8" customHeight="1">
      <c r="A432" s="45"/>
      <c r="B432" s="185" t="s">
        <v>7</v>
      </c>
      <c r="C432" s="155" t="s">
        <v>1</v>
      </c>
      <c r="D432" s="259">
        <v>142</v>
      </c>
      <c r="E432" s="149" t="s">
        <v>1</v>
      </c>
      <c r="F432" s="259">
        <v>233</v>
      </c>
      <c r="G432" s="149" t="s">
        <v>1</v>
      </c>
      <c r="H432" s="259">
        <v>275</v>
      </c>
      <c r="I432" s="149" t="s">
        <v>1</v>
      </c>
      <c r="J432" s="259">
        <v>495</v>
      </c>
      <c r="K432" s="149" t="s">
        <v>1</v>
      </c>
      <c r="L432" s="259">
        <v>551</v>
      </c>
      <c r="M432" s="149" t="s">
        <v>1</v>
      </c>
      <c r="N432" s="259">
        <v>673</v>
      </c>
      <c r="O432" s="149" t="s">
        <v>1</v>
      </c>
      <c r="P432" s="259">
        <v>697</v>
      </c>
      <c r="Q432" s="149" t="s">
        <v>1</v>
      </c>
      <c r="R432" s="149" t="s">
        <v>21</v>
      </c>
      <c r="S432" s="149" t="s">
        <v>1</v>
      </c>
      <c r="T432" s="225" t="s">
        <v>21</v>
      </c>
    </row>
    <row r="433" spans="1:20" ht="10.5" customHeight="1">
      <c r="A433" s="83">
        <v>112</v>
      </c>
      <c r="B433" s="184" t="s">
        <v>2</v>
      </c>
      <c r="C433" s="153" t="s">
        <v>1</v>
      </c>
      <c r="D433" s="262">
        <v>49.6</v>
      </c>
      <c r="E433" s="85" t="s">
        <v>1</v>
      </c>
      <c r="F433" s="262">
        <v>73.099999999999994</v>
      </c>
      <c r="G433" s="85" t="s">
        <v>1</v>
      </c>
      <c r="H433" s="262">
        <v>95.6</v>
      </c>
      <c r="I433" s="85" t="s">
        <v>1</v>
      </c>
      <c r="J433" s="237">
        <v>154</v>
      </c>
      <c r="K433" s="85" t="s">
        <v>1</v>
      </c>
      <c r="L433" s="237">
        <v>197</v>
      </c>
      <c r="M433" s="85" t="s">
        <v>1</v>
      </c>
      <c r="N433" s="85" t="s">
        <v>1</v>
      </c>
      <c r="O433" s="85" t="s">
        <v>1</v>
      </c>
      <c r="P433" s="85" t="s">
        <v>1</v>
      </c>
      <c r="Q433" s="85" t="s">
        <v>1</v>
      </c>
      <c r="R433" s="85" t="s">
        <v>1</v>
      </c>
      <c r="S433" s="85" t="s">
        <v>1</v>
      </c>
      <c r="T433" s="221" t="s">
        <v>1</v>
      </c>
    </row>
    <row r="434" spans="1:20" ht="9" customHeight="1">
      <c r="A434" s="1"/>
      <c r="B434" s="2" t="s">
        <v>3</v>
      </c>
      <c r="C434" s="154" t="s">
        <v>1</v>
      </c>
      <c r="D434" s="320">
        <v>88</v>
      </c>
      <c r="E434" s="146" t="s">
        <v>1</v>
      </c>
      <c r="F434" s="258">
        <v>134</v>
      </c>
      <c r="G434" s="146" t="s">
        <v>1</v>
      </c>
      <c r="H434" s="258">
        <v>174</v>
      </c>
      <c r="I434" s="146" t="s">
        <v>1</v>
      </c>
      <c r="J434" s="258">
        <v>289</v>
      </c>
      <c r="K434" s="146" t="s">
        <v>1</v>
      </c>
      <c r="L434" s="258">
        <v>321</v>
      </c>
      <c r="M434" s="146" t="s">
        <v>1</v>
      </c>
      <c r="N434" s="146" t="s">
        <v>1</v>
      </c>
      <c r="O434" s="146" t="s">
        <v>1</v>
      </c>
      <c r="P434" s="146" t="s">
        <v>1</v>
      </c>
      <c r="Q434" s="146" t="s">
        <v>1</v>
      </c>
      <c r="R434" s="146" t="s">
        <v>1</v>
      </c>
      <c r="S434" s="146" t="s">
        <v>1</v>
      </c>
      <c r="T434" s="223" t="s">
        <v>1</v>
      </c>
    </row>
    <row r="435" spans="1:20" ht="9.3000000000000007" customHeight="1">
      <c r="A435" s="1"/>
      <c r="B435" s="2" t="s">
        <v>5</v>
      </c>
      <c r="C435" s="154" t="s">
        <v>1</v>
      </c>
      <c r="D435" s="258">
        <v>102</v>
      </c>
      <c r="E435" s="146" t="s">
        <v>1</v>
      </c>
      <c r="F435" s="258">
        <v>161</v>
      </c>
      <c r="G435" s="146" t="s">
        <v>1</v>
      </c>
      <c r="H435" s="258">
        <v>188</v>
      </c>
      <c r="I435" s="146" t="s">
        <v>1</v>
      </c>
      <c r="J435" s="258">
        <v>362</v>
      </c>
      <c r="K435" s="146" t="s">
        <v>1</v>
      </c>
      <c r="L435" s="258">
        <v>409</v>
      </c>
      <c r="M435" s="146" t="s">
        <v>1</v>
      </c>
      <c r="N435" s="146" t="s">
        <v>1</v>
      </c>
      <c r="O435" s="146" t="s">
        <v>1</v>
      </c>
      <c r="P435" s="146" t="s">
        <v>1</v>
      </c>
      <c r="Q435" s="146" t="s">
        <v>1</v>
      </c>
      <c r="R435" s="146" t="s">
        <v>1</v>
      </c>
      <c r="S435" s="146" t="s">
        <v>1</v>
      </c>
      <c r="T435" s="223" t="s">
        <v>1</v>
      </c>
    </row>
    <row r="436" spans="1:20" ht="10.8" customHeight="1">
      <c r="A436" s="392"/>
      <c r="B436" s="393" t="s">
        <v>7</v>
      </c>
      <c r="C436" s="378" t="s">
        <v>1</v>
      </c>
      <c r="D436" s="371">
        <v>137</v>
      </c>
      <c r="E436" s="379" t="s">
        <v>1</v>
      </c>
      <c r="F436" s="371">
        <v>216</v>
      </c>
      <c r="G436" s="379" t="s">
        <v>1</v>
      </c>
      <c r="H436" s="371">
        <v>259</v>
      </c>
      <c r="I436" s="379" t="s">
        <v>1</v>
      </c>
      <c r="J436" s="371">
        <v>482</v>
      </c>
      <c r="K436" s="379" t="s">
        <v>1</v>
      </c>
      <c r="L436" s="371">
        <v>522</v>
      </c>
      <c r="M436" s="379" t="s">
        <v>1</v>
      </c>
      <c r="N436" s="379" t="s">
        <v>1</v>
      </c>
      <c r="O436" s="379" t="s">
        <v>1</v>
      </c>
      <c r="P436" s="379" t="s">
        <v>1</v>
      </c>
      <c r="Q436" s="379" t="s">
        <v>1</v>
      </c>
      <c r="R436" s="379" t="s">
        <v>1</v>
      </c>
      <c r="S436" s="379" t="s">
        <v>1</v>
      </c>
      <c r="T436" s="380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4:U134"/>
    <mergeCell ref="B53:C53"/>
    <mergeCell ref="B54:C54"/>
    <mergeCell ref="B55:C55"/>
    <mergeCell ref="B52:C52"/>
    <mergeCell ref="A135:B136"/>
    <mergeCell ref="C135:T135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74:U374"/>
    <mergeCell ref="A375:B376"/>
    <mergeCell ref="C375:T375"/>
    <mergeCell ref="A214:U214"/>
    <mergeCell ref="A215:B216"/>
    <mergeCell ref="C215:T215"/>
    <mergeCell ref="A294:U294"/>
    <mergeCell ref="A295:B296"/>
    <mergeCell ref="C295:T29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10"/>
  <sheetViews>
    <sheetView topLeftCell="D1" workbookViewId="0">
      <selection activeCell="L57" sqref="L57"/>
    </sheetView>
  </sheetViews>
  <sheetFormatPr defaultRowHeight="13.2"/>
  <sheetData>
    <row r="1" spans="1:26" ht="33.75" customHeight="1">
      <c r="A1" s="449" t="s">
        <v>243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</row>
    <row r="2" spans="1:26" ht="12.75" customHeight="1">
      <c r="A2" s="450" t="s">
        <v>11</v>
      </c>
      <c r="B2" s="450" t="s">
        <v>12</v>
      </c>
      <c r="C2" s="450"/>
      <c r="D2" s="470" t="s">
        <v>13</v>
      </c>
      <c r="E2" s="454" t="s">
        <v>14</v>
      </c>
      <c r="F2" s="455"/>
      <c r="G2" s="455"/>
      <c r="H2" s="455"/>
      <c r="I2" s="455"/>
      <c r="J2" s="455"/>
      <c r="K2" s="454" t="s">
        <v>14</v>
      </c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</row>
    <row r="3" spans="1:26" ht="12" customHeight="1">
      <c r="A3" s="452"/>
      <c r="B3" s="452"/>
      <c r="C3" s="452"/>
      <c r="D3" s="471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68">
        <v>1800</v>
      </c>
      <c r="C4" s="468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65">
        <v>1500</v>
      </c>
      <c r="C5" s="465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65">
        <v>1200</v>
      </c>
      <c r="C6" s="465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67">
        <v>1000</v>
      </c>
      <c r="C7" s="467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68">
        <v>1800</v>
      </c>
      <c r="C8" s="468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65">
        <v>1500</v>
      </c>
      <c r="C9" s="465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65">
        <v>1200</v>
      </c>
      <c r="C10" s="465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67">
        <v>1000</v>
      </c>
      <c r="C11" s="467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68">
        <v>1800</v>
      </c>
      <c r="C12" s="468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65">
        <v>1500</v>
      </c>
      <c r="C13" s="465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65">
        <v>1200</v>
      </c>
      <c r="C14" s="465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67">
        <v>1000</v>
      </c>
      <c r="C15" s="467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68">
        <v>1800</v>
      </c>
      <c r="C16" s="468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65">
        <v>1500</v>
      </c>
      <c r="C17" s="465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65">
        <v>1200</v>
      </c>
      <c r="C18" s="465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67">
        <v>1000</v>
      </c>
      <c r="C19" s="467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68">
        <v>1800</v>
      </c>
      <c r="C20" s="468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65">
        <v>1500</v>
      </c>
      <c r="C21" s="465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65">
        <v>1200</v>
      </c>
      <c r="C22" s="465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67">
        <v>1000</v>
      </c>
      <c r="C23" s="467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68">
        <v>1800</v>
      </c>
      <c r="C24" s="468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65">
        <v>1500</v>
      </c>
      <c r="C25" s="465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65">
        <v>1200</v>
      </c>
      <c r="C26" s="465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67">
        <v>1000</v>
      </c>
      <c r="C27" s="467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68">
        <v>1800</v>
      </c>
      <c r="C28" s="468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65">
        <v>1500</v>
      </c>
      <c r="C29" s="465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65">
        <v>1200</v>
      </c>
      <c r="C30" s="465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67">
        <v>1000</v>
      </c>
      <c r="C31" s="467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68">
        <v>1800</v>
      </c>
      <c r="C32" s="468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65">
        <v>1500</v>
      </c>
      <c r="C33" s="465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65">
        <v>1200</v>
      </c>
      <c r="C34" s="465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67">
        <v>1000</v>
      </c>
      <c r="C35" s="467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68">
        <v>1800</v>
      </c>
      <c r="C36" s="468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65">
        <v>1500</v>
      </c>
      <c r="C37" s="465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65">
        <v>1200</v>
      </c>
      <c r="C38" s="465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67">
        <v>1000</v>
      </c>
      <c r="C39" s="467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68">
        <v>1800</v>
      </c>
      <c r="C40" s="468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65">
        <v>1500</v>
      </c>
      <c r="C41" s="465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65">
        <v>1200</v>
      </c>
      <c r="C42" s="465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67">
        <v>1000</v>
      </c>
      <c r="C43" s="467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68">
        <v>1800</v>
      </c>
      <c r="C44" s="468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65">
        <v>1500</v>
      </c>
      <c r="C45" s="465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65">
        <v>1200</v>
      </c>
      <c r="C46" s="465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67">
        <v>1000</v>
      </c>
      <c r="C47" s="467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68">
        <v>1800</v>
      </c>
      <c r="C48" s="468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65">
        <v>1500</v>
      </c>
      <c r="C49" s="465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65">
        <v>1200</v>
      </c>
      <c r="C50" s="465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67">
        <v>1000</v>
      </c>
      <c r="C51" s="467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68">
        <v>1800</v>
      </c>
      <c r="C52" s="468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65">
        <v>1500</v>
      </c>
      <c r="C53" s="465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65">
        <v>1200</v>
      </c>
      <c r="C54" s="465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67">
        <v>1000</v>
      </c>
      <c r="C55" s="467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68">
        <v>1800</v>
      </c>
      <c r="C56" s="468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65">
        <v>1500</v>
      </c>
      <c r="C57" s="465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65">
        <v>1200</v>
      </c>
      <c r="C58" s="465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2"/>
      <c r="B59" s="466">
        <v>1000</v>
      </c>
      <c r="C59" s="466"/>
      <c r="D59" s="396">
        <v>2.2000000000000002</v>
      </c>
      <c r="E59" s="378" t="s">
        <v>1</v>
      </c>
      <c r="F59" s="397">
        <v>5.8</v>
      </c>
      <c r="G59" s="379" t="s">
        <v>1</v>
      </c>
      <c r="H59" s="397">
        <v>9.8000000000000007</v>
      </c>
      <c r="I59" s="379" t="s">
        <v>1</v>
      </c>
      <c r="J59" s="372">
        <v>17</v>
      </c>
      <c r="K59" s="378" t="s">
        <v>1</v>
      </c>
      <c r="L59" s="371">
        <v>26</v>
      </c>
      <c r="M59" s="379" t="s">
        <v>1</v>
      </c>
      <c r="N59" s="379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80" t="s">
        <v>1</v>
      </c>
    </row>
    <row r="60" spans="1:26" ht="11.55" customHeight="1">
      <c r="A60" s="344"/>
      <c r="B60" s="345"/>
      <c r="C60" s="345"/>
      <c r="D60" s="403"/>
      <c r="E60" s="377"/>
      <c r="F60" s="346"/>
      <c r="G60" s="377"/>
      <c r="H60" s="346"/>
      <c r="I60" s="377"/>
      <c r="J60" s="345"/>
      <c r="K60" s="377"/>
      <c r="L60" s="345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</row>
    <row r="61" spans="1:26" ht="11.55" customHeight="1">
      <c r="A61" s="344"/>
      <c r="B61" s="345"/>
      <c r="C61" s="345"/>
      <c r="D61" s="403"/>
      <c r="E61" s="377"/>
      <c r="F61" s="346"/>
      <c r="G61" s="377"/>
      <c r="H61" s="346"/>
      <c r="I61" s="377"/>
      <c r="J61" s="345"/>
      <c r="K61" s="377"/>
      <c r="L61" s="345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</row>
    <row r="62" spans="1:26" ht="11.55" customHeight="1">
      <c r="A62" s="344"/>
      <c r="B62" s="345"/>
      <c r="C62" s="345"/>
      <c r="D62" s="403"/>
      <c r="E62" s="377"/>
      <c r="F62" s="346"/>
      <c r="G62" s="377"/>
      <c r="H62" s="346"/>
      <c r="I62" s="377"/>
      <c r="J62" s="345"/>
      <c r="K62" s="377"/>
      <c r="L62" s="345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</row>
    <row r="63" spans="1:26" ht="11.55" customHeight="1">
      <c r="A63" s="344"/>
      <c r="B63" s="345"/>
      <c r="C63" s="345"/>
      <c r="D63" s="403"/>
      <c r="E63" s="377"/>
      <c r="F63" s="346"/>
      <c r="G63" s="377"/>
      <c r="H63" s="346"/>
      <c r="I63" s="377"/>
      <c r="J63" s="345"/>
      <c r="K63" s="377"/>
      <c r="L63" s="345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</row>
    <row r="64" spans="1:26" ht="11.55" customHeight="1">
      <c r="A64" s="344"/>
      <c r="B64" s="345"/>
      <c r="C64" s="345"/>
      <c r="D64" s="403"/>
      <c r="E64" s="377"/>
      <c r="F64" s="346"/>
      <c r="G64" s="377"/>
      <c r="H64" s="346"/>
      <c r="I64" s="377"/>
      <c r="J64" s="345"/>
      <c r="K64" s="377"/>
      <c r="L64" s="345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</row>
    <row r="65" spans="1:28" ht="11.55" customHeight="1">
      <c r="A65" s="344"/>
      <c r="B65" s="345"/>
      <c r="C65" s="345"/>
      <c r="D65" s="403"/>
      <c r="E65" s="377"/>
      <c r="F65" s="346"/>
      <c r="G65" s="377"/>
      <c r="H65" s="346"/>
      <c r="I65" s="377"/>
      <c r="J65" s="345"/>
      <c r="K65" s="377"/>
      <c r="L65" s="345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</row>
    <row r="66" spans="1:28" ht="11.55" customHeight="1">
      <c r="A66" s="344"/>
      <c r="B66" s="345"/>
      <c r="C66" s="345"/>
      <c r="D66" s="403"/>
      <c r="E66" s="377"/>
      <c r="F66" s="346"/>
      <c r="G66" s="377"/>
      <c r="H66" s="346"/>
      <c r="I66" s="377"/>
      <c r="J66" s="345"/>
      <c r="K66" s="377"/>
      <c r="L66" s="345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</row>
    <row r="67" spans="1:28" ht="11.55" customHeight="1">
      <c r="A67" s="344"/>
      <c r="B67" s="345"/>
      <c r="C67" s="345"/>
      <c r="D67" s="403"/>
      <c r="E67" s="377"/>
      <c r="F67" s="346"/>
      <c r="G67" s="377"/>
      <c r="H67" s="346"/>
      <c r="I67" s="377"/>
      <c r="J67" s="345"/>
      <c r="K67" s="377"/>
      <c r="L67" s="345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</row>
    <row r="68" spans="1:28" ht="11.55" customHeight="1">
      <c r="A68" s="344"/>
      <c r="B68" s="345"/>
      <c r="C68" s="345"/>
      <c r="D68" s="403"/>
      <c r="E68" s="377"/>
      <c r="F68" s="346"/>
      <c r="G68" s="377"/>
      <c r="H68" s="346"/>
      <c r="I68" s="377"/>
      <c r="J68" s="345"/>
      <c r="K68" s="377"/>
      <c r="L68" s="345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</row>
    <row r="69" spans="1:28" ht="11.55" customHeight="1">
      <c r="A69" s="344"/>
      <c r="B69" s="345"/>
      <c r="C69" s="345"/>
      <c r="D69" s="403"/>
      <c r="E69" s="377"/>
      <c r="F69" s="346"/>
      <c r="G69" s="377"/>
      <c r="H69" s="346"/>
      <c r="I69" s="377"/>
      <c r="J69" s="345"/>
      <c r="K69" s="377"/>
      <c r="L69" s="345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</row>
    <row r="70" spans="1:28" ht="11.55" customHeight="1">
      <c r="A70" s="344"/>
      <c r="B70" s="345"/>
      <c r="C70" s="345"/>
      <c r="D70" s="403"/>
      <c r="E70" s="377"/>
      <c r="F70" s="346"/>
      <c r="G70" s="377"/>
      <c r="H70" s="346"/>
      <c r="I70" s="377"/>
      <c r="J70" s="345"/>
      <c r="K70" s="377"/>
      <c r="L70" s="345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</row>
    <row r="71" spans="1:28" ht="11.55" customHeight="1">
      <c r="A71" s="344"/>
      <c r="B71" s="345"/>
      <c r="C71" s="345"/>
      <c r="D71" s="403"/>
      <c r="E71" s="377"/>
      <c r="F71" s="346"/>
      <c r="G71" s="377"/>
      <c r="H71" s="346"/>
      <c r="I71" s="377"/>
      <c r="J71" s="345"/>
      <c r="K71" s="377"/>
      <c r="L71" s="345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</row>
    <row r="72" spans="1:28" ht="11.55" customHeight="1">
      <c r="A72" s="344"/>
      <c r="B72" s="345"/>
      <c r="C72" s="345"/>
      <c r="D72" s="403"/>
      <c r="E72" s="377"/>
      <c r="F72" s="346"/>
      <c r="G72" s="377"/>
      <c r="H72" s="346"/>
      <c r="I72" s="377"/>
      <c r="J72" s="345"/>
      <c r="K72" s="377"/>
      <c r="L72" s="345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</row>
    <row r="73" spans="1:28" ht="11.55" customHeight="1">
      <c r="A73" s="344"/>
      <c r="B73" s="345"/>
      <c r="C73" s="345"/>
      <c r="D73" s="403"/>
      <c r="E73" s="377"/>
      <c r="F73" s="346"/>
      <c r="G73" s="377"/>
      <c r="H73" s="346"/>
      <c r="I73" s="377"/>
      <c r="J73" s="345"/>
      <c r="K73" s="377"/>
      <c r="L73" s="345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</row>
    <row r="74" spans="1:28" ht="11.55" customHeight="1">
      <c r="A74" s="344"/>
      <c r="B74" s="345"/>
      <c r="C74" s="345"/>
      <c r="D74" s="403"/>
      <c r="E74" s="377"/>
      <c r="F74" s="346"/>
      <c r="G74" s="377"/>
      <c r="H74" s="346"/>
      <c r="I74" s="377"/>
      <c r="J74" s="345"/>
      <c r="K74" s="377"/>
      <c r="L74" s="345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</row>
    <row r="75" spans="1:28" ht="11.55" customHeight="1">
      <c r="A75" s="344"/>
      <c r="B75" s="345"/>
      <c r="C75" s="345"/>
      <c r="D75" s="403"/>
      <c r="E75" s="377"/>
      <c r="F75" s="346"/>
      <c r="G75" s="377"/>
      <c r="H75" s="346"/>
      <c r="I75" s="377"/>
      <c r="J75" s="345"/>
      <c r="K75" s="377"/>
      <c r="L75" s="345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</row>
    <row r="76" spans="1:28" ht="12" customHeight="1"/>
    <row r="77" spans="1:28" ht="36.75" customHeight="1">
      <c r="A77" s="449" t="s">
        <v>244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</row>
    <row r="78" spans="1:28" ht="11.25" customHeight="1">
      <c r="A78" s="451" t="s">
        <v>69</v>
      </c>
      <c r="B78" s="473" t="s">
        <v>14</v>
      </c>
      <c r="C78" s="474"/>
      <c r="D78" s="474"/>
      <c r="E78" s="474"/>
      <c r="F78" s="474"/>
      <c r="G78" s="474"/>
      <c r="H78" s="474"/>
      <c r="I78" s="474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</row>
    <row r="79" spans="1:28" ht="11.25" customHeight="1">
      <c r="A79" s="453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6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7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7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7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7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7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7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7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7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7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7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7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7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7" t="s">
        <v>1</v>
      </c>
      <c r="AA94" s="337" t="s">
        <v>1</v>
      </c>
      <c r="AB94" s="462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63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63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63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63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63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63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63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63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63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63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64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56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57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57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57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57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57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57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57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57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57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57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57"/>
    </row>
    <row r="118" spans="1:28" ht="11.25" customHeight="1">
      <c r="A118" s="73">
        <v>100</v>
      </c>
      <c r="B118" s="343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89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61"/>
    </row>
    <row r="119" spans="1:28" ht="11.25" customHeight="1">
      <c r="A119" s="73">
        <v>112</v>
      </c>
      <c r="B119" s="343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89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58" t="s">
        <v>245</v>
      </c>
    </row>
    <row r="120" spans="1:28" ht="11.25" customHeight="1">
      <c r="A120" s="73">
        <v>125</v>
      </c>
      <c r="B120" s="343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89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59"/>
    </row>
    <row r="121" spans="1:28" ht="11.25" customHeight="1">
      <c r="A121" s="73">
        <v>140</v>
      </c>
      <c r="B121" s="343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89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59"/>
    </row>
    <row r="122" spans="1:28" ht="11.25" customHeight="1">
      <c r="A122" s="73">
        <v>160</v>
      </c>
      <c r="B122" s="343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89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59"/>
    </row>
    <row r="123" spans="1:28" ht="11.25" customHeight="1">
      <c r="A123" s="73">
        <v>180</v>
      </c>
      <c r="B123" s="343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89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59"/>
    </row>
    <row r="124" spans="1:28" ht="11.25" customHeight="1">
      <c r="A124" s="73">
        <v>200</v>
      </c>
      <c r="B124" s="343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89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59"/>
    </row>
    <row r="125" spans="1:28" ht="11.25" customHeight="1">
      <c r="A125" s="73">
        <v>224</v>
      </c>
      <c r="B125" s="343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89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59"/>
    </row>
    <row r="126" spans="1:28" ht="11.25" customHeight="1">
      <c r="A126" s="73">
        <v>250</v>
      </c>
      <c r="B126" s="343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89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59"/>
    </row>
    <row r="127" spans="1:28" ht="11.25" customHeight="1">
      <c r="A127" s="73">
        <v>280</v>
      </c>
      <c r="B127" s="343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89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59"/>
    </row>
    <row r="128" spans="1:28" ht="11.25" customHeight="1">
      <c r="A128" s="73">
        <v>315</v>
      </c>
      <c r="B128" s="343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89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59"/>
    </row>
    <row r="129" spans="1:28" ht="11.25" customHeight="1">
      <c r="A129" s="73">
        <v>355</v>
      </c>
      <c r="B129" s="343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89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59"/>
    </row>
    <row r="130" spans="1:28" ht="11.25" customHeight="1">
      <c r="A130" s="73">
        <v>400</v>
      </c>
      <c r="B130" s="343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3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59"/>
    </row>
    <row r="131" spans="1:28" ht="11.25" customHeight="1">
      <c r="A131" s="381">
        <v>450</v>
      </c>
      <c r="B131" s="399" t="s">
        <v>1</v>
      </c>
      <c r="C131" s="398" t="s">
        <v>1</v>
      </c>
      <c r="D131" s="398" t="s">
        <v>1</v>
      </c>
      <c r="E131" s="398" t="s">
        <v>1</v>
      </c>
      <c r="F131" s="398" t="s">
        <v>1</v>
      </c>
      <c r="G131" s="400">
        <v>25.3</v>
      </c>
      <c r="H131" s="398" t="s">
        <v>1</v>
      </c>
      <c r="I131" s="400">
        <v>42.8</v>
      </c>
      <c r="J131" s="398" t="s">
        <v>1</v>
      </c>
      <c r="K131" s="400">
        <v>78</v>
      </c>
      <c r="L131" s="399" t="s">
        <v>1</v>
      </c>
      <c r="M131" s="401">
        <v>113</v>
      </c>
      <c r="N131" s="398" t="s">
        <v>1</v>
      </c>
      <c r="O131" s="398" t="s">
        <v>1</v>
      </c>
      <c r="P131" s="398" t="s">
        <v>1</v>
      </c>
      <c r="Q131" s="398" t="s">
        <v>1</v>
      </c>
      <c r="R131" s="398" t="s">
        <v>1</v>
      </c>
      <c r="S131" s="398" t="s">
        <v>1</v>
      </c>
      <c r="T131" s="398" t="s">
        <v>1</v>
      </c>
      <c r="U131" s="398" t="s">
        <v>1</v>
      </c>
      <c r="V131" s="398" t="s">
        <v>1</v>
      </c>
      <c r="W131" s="398" t="s">
        <v>1</v>
      </c>
      <c r="X131" s="398" t="s">
        <v>1</v>
      </c>
      <c r="Y131" s="398" t="s">
        <v>1</v>
      </c>
      <c r="Z131" s="398" t="s">
        <v>1</v>
      </c>
      <c r="AA131" s="398" t="s">
        <v>1</v>
      </c>
      <c r="AB131" s="476"/>
    </row>
    <row r="132" spans="1:28" ht="11.25" customHeight="1"/>
    <row r="133" spans="1:28" ht="11.25" customHeight="1"/>
    <row r="134" spans="1:28" ht="40.799999999999997" customHeight="1">
      <c r="A134" s="449" t="s">
        <v>246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</row>
    <row r="135" spans="1:28" ht="12.3" customHeight="1">
      <c r="A135" s="450" t="s">
        <v>69</v>
      </c>
      <c r="B135" s="451"/>
      <c r="C135" s="454" t="s">
        <v>14</v>
      </c>
      <c r="D135" s="455"/>
      <c r="E135" s="455"/>
      <c r="F135" s="455"/>
      <c r="G135" s="455"/>
      <c r="H135" s="455"/>
      <c r="I135" s="455"/>
      <c r="J135" s="455"/>
      <c r="K135" s="455"/>
      <c r="L135" s="455"/>
      <c r="M135" s="455"/>
      <c r="N135" s="455"/>
      <c r="O135" s="455"/>
      <c r="P135" s="455"/>
      <c r="Q135" s="455"/>
      <c r="R135" s="455"/>
    </row>
    <row r="136" spans="1:28" ht="9" customHeight="1">
      <c r="A136" s="452"/>
      <c r="B136" s="453"/>
      <c r="C136" s="33">
        <v>7</v>
      </c>
      <c r="D136" s="33">
        <v>8</v>
      </c>
      <c r="E136" s="33">
        <v>9</v>
      </c>
      <c r="F136" s="33">
        <v>10</v>
      </c>
      <c r="G136" s="33">
        <v>11</v>
      </c>
      <c r="H136" s="33">
        <v>12</v>
      </c>
      <c r="I136" s="33">
        <v>13</v>
      </c>
      <c r="J136" s="33">
        <v>14</v>
      </c>
      <c r="K136" s="33">
        <v>15</v>
      </c>
      <c r="L136" s="33">
        <v>16</v>
      </c>
      <c r="M136" s="33">
        <v>17</v>
      </c>
      <c r="N136" s="33">
        <v>18</v>
      </c>
      <c r="O136" s="33">
        <v>19</v>
      </c>
      <c r="P136" s="33">
        <v>20</v>
      </c>
      <c r="Q136" s="33">
        <v>21</v>
      </c>
      <c r="R136" s="34">
        <v>22</v>
      </c>
    </row>
    <row r="137" spans="1:28" ht="12.3" customHeight="1">
      <c r="A137" s="216">
        <v>100</v>
      </c>
      <c r="B137" s="217" t="s">
        <v>2</v>
      </c>
      <c r="C137" s="323">
        <v>50.6</v>
      </c>
      <c r="D137" s="82" t="s">
        <v>1</v>
      </c>
      <c r="E137" s="30">
        <v>71.099999999999994</v>
      </c>
      <c r="F137" s="82" t="s">
        <v>1</v>
      </c>
      <c r="G137" s="236">
        <v>104</v>
      </c>
      <c r="H137" s="82" t="s">
        <v>1</v>
      </c>
      <c r="I137" s="236">
        <v>143</v>
      </c>
      <c r="J137" s="82" t="s">
        <v>1</v>
      </c>
      <c r="K137" s="236">
        <v>201</v>
      </c>
      <c r="L137" s="82" t="s">
        <v>1</v>
      </c>
      <c r="M137" s="236">
        <v>220</v>
      </c>
      <c r="N137" s="82" t="s">
        <v>1</v>
      </c>
      <c r="O137" s="236">
        <v>286</v>
      </c>
      <c r="P137" s="82" t="s">
        <v>1</v>
      </c>
      <c r="Q137" s="236">
        <v>375</v>
      </c>
      <c r="R137" s="324" t="s">
        <v>1</v>
      </c>
    </row>
    <row r="138" spans="1:28" ht="12" customHeight="1">
      <c r="A138" s="216">
        <v>112</v>
      </c>
      <c r="B138" s="217" t="s">
        <v>2</v>
      </c>
      <c r="C138" s="323">
        <v>48.6</v>
      </c>
      <c r="D138" s="82" t="s">
        <v>1</v>
      </c>
      <c r="E138" s="30">
        <v>68.2</v>
      </c>
      <c r="F138" s="82" t="s">
        <v>1</v>
      </c>
      <c r="G138" s="236">
        <v>104</v>
      </c>
      <c r="H138" s="82" t="s">
        <v>1</v>
      </c>
      <c r="I138" s="236">
        <v>140</v>
      </c>
      <c r="J138" s="82" t="s">
        <v>1</v>
      </c>
      <c r="K138" s="236">
        <v>192</v>
      </c>
      <c r="L138" s="236">
        <v>208</v>
      </c>
      <c r="M138" s="236">
        <v>210</v>
      </c>
      <c r="N138" s="236">
        <v>227</v>
      </c>
      <c r="O138" s="236">
        <v>274</v>
      </c>
      <c r="P138" s="236">
        <v>294</v>
      </c>
      <c r="Q138" s="236">
        <v>366</v>
      </c>
      <c r="R138" s="325">
        <v>383</v>
      </c>
    </row>
    <row r="139" spans="1:28" ht="12.3" customHeight="1">
      <c r="A139" s="216">
        <v>125</v>
      </c>
      <c r="B139" s="217" t="s">
        <v>2</v>
      </c>
      <c r="C139" s="323">
        <v>47.2</v>
      </c>
      <c r="D139" s="30">
        <v>54.3</v>
      </c>
      <c r="E139" s="30">
        <v>66.2</v>
      </c>
      <c r="F139" s="30">
        <v>72.099999999999994</v>
      </c>
      <c r="G139" s="30">
        <v>99.6</v>
      </c>
      <c r="H139" s="236">
        <v>116</v>
      </c>
      <c r="I139" s="236">
        <v>136</v>
      </c>
      <c r="J139" s="236">
        <v>153</v>
      </c>
      <c r="K139" s="236">
        <v>186</v>
      </c>
      <c r="L139" s="236">
        <v>198</v>
      </c>
      <c r="M139" s="236">
        <v>203</v>
      </c>
      <c r="N139" s="236">
        <v>217</v>
      </c>
      <c r="O139" s="236">
        <v>267</v>
      </c>
      <c r="P139" s="236">
        <v>282</v>
      </c>
      <c r="Q139" s="236">
        <v>358</v>
      </c>
      <c r="R139" s="325">
        <v>374</v>
      </c>
    </row>
    <row r="140" spans="1:28" ht="12" customHeight="1">
      <c r="A140" s="216">
        <v>140</v>
      </c>
      <c r="B140" s="217" t="s">
        <v>2</v>
      </c>
      <c r="C140" s="323">
        <v>45</v>
      </c>
      <c r="D140" s="30">
        <v>52.1</v>
      </c>
      <c r="E140" s="30">
        <v>64.099999999999994</v>
      </c>
      <c r="F140" s="30">
        <v>69.2</v>
      </c>
      <c r="G140" s="30">
        <v>96.5</v>
      </c>
      <c r="H140" s="236">
        <v>115</v>
      </c>
      <c r="I140" s="236">
        <v>132</v>
      </c>
      <c r="J140" s="236">
        <v>150</v>
      </c>
      <c r="K140" s="236">
        <v>179</v>
      </c>
      <c r="L140" s="236">
        <v>191</v>
      </c>
      <c r="M140" s="236">
        <v>196</v>
      </c>
      <c r="N140" s="236">
        <v>209</v>
      </c>
      <c r="O140" s="236">
        <v>258</v>
      </c>
      <c r="P140" s="236">
        <v>274</v>
      </c>
      <c r="Q140" s="236">
        <v>344</v>
      </c>
      <c r="R140" s="325">
        <v>365</v>
      </c>
    </row>
    <row r="141" spans="1:28" ht="12.3" customHeight="1">
      <c r="A141" s="216">
        <v>160</v>
      </c>
      <c r="B141" s="217" t="s">
        <v>2</v>
      </c>
      <c r="C141" s="323">
        <v>43.3</v>
      </c>
      <c r="D141" s="30">
        <v>50.6</v>
      </c>
      <c r="E141" s="30">
        <v>60.7</v>
      </c>
      <c r="F141" s="30">
        <v>67.2</v>
      </c>
      <c r="G141" s="30">
        <v>91.9</v>
      </c>
      <c r="H141" s="236">
        <v>110</v>
      </c>
      <c r="I141" s="236">
        <v>125</v>
      </c>
      <c r="J141" s="236">
        <v>146</v>
      </c>
      <c r="K141" s="236">
        <v>172</v>
      </c>
      <c r="L141" s="236">
        <v>185</v>
      </c>
      <c r="M141" s="236">
        <v>188</v>
      </c>
      <c r="N141" s="236">
        <v>202</v>
      </c>
      <c r="O141" s="236">
        <v>249</v>
      </c>
      <c r="P141" s="236">
        <v>266</v>
      </c>
      <c r="Q141" s="236">
        <v>332</v>
      </c>
      <c r="R141" s="325">
        <v>350</v>
      </c>
    </row>
    <row r="142" spans="1:28" ht="12" customHeight="1">
      <c r="A142" s="216">
        <v>180</v>
      </c>
      <c r="B142" s="217" t="s">
        <v>2</v>
      </c>
      <c r="C142" s="323">
        <v>41.8</v>
      </c>
      <c r="D142" s="30">
        <v>48.3</v>
      </c>
      <c r="E142" s="30">
        <v>58.3</v>
      </c>
      <c r="F142" s="30">
        <v>65</v>
      </c>
      <c r="G142" s="30">
        <v>88.6</v>
      </c>
      <c r="H142" s="236">
        <v>107</v>
      </c>
      <c r="I142" s="236">
        <v>120</v>
      </c>
      <c r="J142" s="236">
        <v>141</v>
      </c>
      <c r="K142" s="236">
        <v>169</v>
      </c>
      <c r="L142" s="236">
        <v>178</v>
      </c>
      <c r="M142" s="236">
        <v>184</v>
      </c>
      <c r="N142" s="236">
        <v>195</v>
      </c>
      <c r="O142" s="236">
        <v>240</v>
      </c>
      <c r="P142" s="236">
        <v>256</v>
      </c>
      <c r="Q142" s="236">
        <v>327</v>
      </c>
      <c r="R142" s="325">
        <v>338</v>
      </c>
    </row>
    <row r="143" spans="1:28" ht="12.3" customHeight="1">
      <c r="A143" s="216">
        <v>200</v>
      </c>
      <c r="B143" s="217" t="s">
        <v>2</v>
      </c>
      <c r="C143" s="323">
        <v>40.6</v>
      </c>
      <c r="D143" s="30">
        <v>46.5</v>
      </c>
      <c r="E143" s="30">
        <v>56.8</v>
      </c>
      <c r="F143" s="30">
        <v>61.6</v>
      </c>
      <c r="G143" s="30">
        <v>85</v>
      </c>
      <c r="H143" s="236">
        <v>102</v>
      </c>
      <c r="I143" s="236">
        <v>118</v>
      </c>
      <c r="J143" s="236">
        <v>134</v>
      </c>
      <c r="K143" s="236">
        <v>166</v>
      </c>
      <c r="L143" s="236">
        <v>174</v>
      </c>
      <c r="M143" s="236">
        <v>180</v>
      </c>
      <c r="N143" s="236">
        <v>190</v>
      </c>
      <c r="O143" s="236">
        <v>234</v>
      </c>
      <c r="P143" s="236">
        <v>246</v>
      </c>
      <c r="Q143" s="236">
        <v>330</v>
      </c>
      <c r="R143" s="325">
        <v>333</v>
      </c>
    </row>
    <row r="144" spans="1:28" ht="12" customHeight="1">
      <c r="A144" s="216">
        <v>224</v>
      </c>
      <c r="B144" s="217" t="s">
        <v>2</v>
      </c>
      <c r="C144" s="323">
        <v>37.9</v>
      </c>
      <c r="D144" s="30">
        <v>44.8</v>
      </c>
      <c r="E144" s="30">
        <v>54.1</v>
      </c>
      <c r="F144" s="30">
        <v>59.2</v>
      </c>
      <c r="G144" s="30">
        <v>81.3</v>
      </c>
      <c r="H144" s="30">
        <v>98.1</v>
      </c>
      <c r="I144" s="236">
        <v>113</v>
      </c>
      <c r="J144" s="236">
        <v>129</v>
      </c>
      <c r="K144" s="236">
        <v>155</v>
      </c>
      <c r="L144" s="236">
        <v>171</v>
      </c>
      <c r="M144" s="236">
        <v>168</v>
      </c>
      <c r="N144" s="236">
        <v>185</v>
      </c>
      <c r="O144" s="236">
        <v>225</v>
      </c>
      <c r="P144" s="236">
        <v>240</v>
      </c>
      <c r="Q144" s="236">
        <v>315</v>
      </c>
      <c r="R144" s="325">
        <v>335</v>
      </c>
    </row>
    <row r="145" spans="1:20" ht="12.3" customHeight="1">
      <c r="A145" s="216">
        <v>250</v>
      </c>
      <c r="B145" s="217" t="s">
        <v>2</v>
      </c>
      <c r="C145" s="323">
        <v>35.9</v>
      </c>
      <c r="D145" s="30">
        <v>43.5</v>
      </c>
      <c r="E145" s="30">
        <v>51.3</v>
      </c>
      <c r="F145" s="30">
        <v>57.5</v>
      </c>
      <c r="G145" s="30">
        <v>76.400000000000006</v>
      </c>
      <c r="H145" s="30">
        <v>94</v>
      </c>
      <c r="I145" s="236">
        <v>107</v>
      </c>
      <c r="J145" s="236">
        <v>126</v>
      </c>
      <c r="K145" s="236">
        <v>148</v>
      </c>
      <c r="L145" s="236">
        <v>160</v>
      </c>
      <c r="M145" s="236">
        <v>160</v>
      </c>
      <c r="N145" s="236">
        <v>174</v>
      </c>
      <c r="O145" s="236">
        <v>215</v>
      </c>
      <c r="P145" s="236">
        <v>231</v>
      </c>
      <c r="Q145" s="236">
        <v>300</v>
      </c>
      <c r="R145" s="325">
        <v>321</v>
      </c>
    </row>
    <row r="146" spans="1:20" ht="12" customHeight="1">
      <c r="A146" s="216">
        <v>280</v>
      </c>
      <c r="B146" s="217" t="s">
        <v>2</v>
      </c>
      <c r="C146" s="323">
        <v>34.700000000000003</v>
      </c>
      <c r="D146" s="30">
        <v>40.6</v>
      </c>
      <c r="E146" s="30">
        <v>49.5</v>
      </c>
      <c r="F146" s="30">
        <v>54.9</v>
      </c>
      <c r="G146" s="30">
        <v>73</v>
      </c>
      <c r="H146" s="30">
        <v>89.9</v>
      </c>
      <c r="I146" s="236">
        <v>104</v>
      </c>
      <c r="J146" s="236">
        <v>121</v>
      </c>
      <c r="K146" s="236">
        <v>143</v>
      </c>
      <c r="L146" s="236">
        <v>152</v>
      </c>
      <c r="M146" s="236">
        <v>156</v>
      </c>
      <c r="N146" s="236">
        <v>165</v>
      </c>
      <c r="O146" s="236">
        <v>207</v>
      </c>
      <c r="P146" s="236">
        <v>221</v>
      </c>
      <c r="Q146" s="236">
        <v>291</v>
      </c>
      <c r="R146" s="325">
        <v>305</v>
      </c>
    </row>
    <row r="147" spans="1:20" ht="12.3" customHeight="1">
      <c r="A147" s="216">
        <v>315</v>
      </c>
      <c r="B147" s="217" t="s">
        <v>2</v>
      </c>
      <c r="C147" s="323">
        <v>33.799999999999997</v>
      </c>
      <c r="D147" s="30">
        <v>38.5</v>
      </c>
      <c r="E147" s="30">
        <v>46.8</v>
      </c>
      <c r="F147" s="30">
        <v>52.1</v>
      </c>
      <c r="G147" s="30">
        <v>71.099999999999994</v>
      </c>
      <c r="H147" s="30">
        <v>84.5</v>
      </c>
      <c r="I147" s="30">
        <v>98.7</v>
      </c>
      <c r="J147" s="236">
        <v>114</v>
      </c>
      <c r="K147" s="236">
        <v>136</v>
      </c>
      <c r="L147" s="236">
        <v>147</v>
      </c>
      <c r="M147" s="236">
        <v>149</v>
      </c>
      <c r="N147" s="236">
        <v>161</v>
      </c>
      <c r="O147" s="236">
        <v>202</v>
      </c>
      <c r="P147" s="236">
        <v>212</v>
      </c>
      <c r="Q147" s="236">
        <v>281</v>
      </c>
      <c r="R147" s="325">
        <v>296</v>
      </c>
    </row>
    <row r="148" spans="1:20" ht="12" customHeight="1">
      <c r="A148" s="216">
        <v>355</v>
      </c>
      <c r="B148" s="217" t="s">
        <v>2</v>
      </c>
      <c r="C148" s="323">
        <v>31.9</v>
      </c>
      <c r="D148" s="30">
        <v>37.1</v>
      </c>
      <c r="E148" s="30">
        <v>45.7</v>
      </c>
      <c r="F148" s="30">
        <v>50.2</v>
      </c>
      <c r="G148" s="30">
        <v>67.099999999999994</v>
      </c>
      <c r="H148" s="30">
        <v>80.7</v>
      </c>
      <c r="I148" s="30">
        <v>93.6</v>
      </c>
      <c r="J148" s="236">
        <v>111</v>
      </c>
      <c r="K148" s="236">
        <v>133</v>
      </c>
      <c r="L148" s="236">
        <v>140</v>
      </c>
      <c r="M148" s="236">
        <v>145</v>
      </c>
      <c r="N148" s="236">
        <v>153</v>
      </c>
      <c r="O148" s="236">
        <v>191</v>
      </c>
      <c r="P148" s="236">
        <v>207</v>
      </c>
      <c r="Q148" s="236">
        <v>267</v>
      </c>
      <c r="R148" s="325">
        <v>285</v>
      </c>
    </row>
    <row r="149" spans="1:20" ht="12.3" customHeight="1">
      <c r="A149" s="216">
        <v>400</v>
      </c>
      <c r="B149" s="217" t="s">
        <v>2</v>
      </c>
      <c r="C149" s="179" t="s">
        <v>1</v>
      </c>
      <c r="D149" s="30">
        <v>36.200000000000003</v>
      </c>
      <c r="E149" s="82" t="s">
        <v>1</v>
      </c>
      <c r="F149" s="30">
        <v>47.5</v>
      </c>
      <c r="G149" s="82" t="s">
        <v>1</v>
      </c>
      <c r="H149" s="30">
        <v>78.599999999999994</v>
      </c>
      <c r="I149" s="82" t="s">
        <v>1</v>
      </c>
      <c r="J149" s="236">
        <v>105</v>
      </c>
      <c r="K149" s="82" t="s">
        <v>1</v>
      </c>
      <c r="L149" s="236">
        <v>136</v>
      </c>
      <c r="M149" s="82" t="s">
        <v>1</v>
      </c>
      <c r="N149" s="236">
        <v>149</v>
      </c>
      <c r="O149" s="82" t="s">
        <v>1</v>
      </c>
      <c r="P149" s="236">
        <v>196</v>
      </c>
      <c r="Q149" s="82" t="s">
        <v>1</v>
      </c>
      <c r="R149" s="325">
        <v>271</v>
      </c>
    </row>
    <row r="150" spans="1:20" ht="12" customHeight="1">
      <c r="A150" s="361">
        <v>450</v>
      </c>
      <c r="B150" s="402" t="s">
        <v>2</v>
      </c>
      <c r="C150" s="362" t="s">
        <v>1</v>
      </c>
      <c r="D150" s="390">
        <v>34.299999999999997</v>
      </c>
      <c r="E150" s="363" t="s">
        <v>1</v>
      </c>
      <c r="F150" s="390">
        <v>46.4</v>
      </c>
      <c r="G150" s="363" t="s">
        <v>1</v>
      </c>
      <c r="H150" s="390">
        <v>74.2</v>
      </c>
      <c r="I150" s="363" t="s">
        <v>1</v>
      </c>
      <c r="J150" s="390">
        <v>99.7</v>
      </c>
      <c r="K150" s="363" t="s">
        <v>1</v>
      </c>
      <c r="L150" s="363" t="s">
        <v>1</v>
      </c>
      <c r="M150" s="363" t="s">
        <v>1</v>
      </c>
      <c r="N150" s="363" t="s">
        <v>1</v>
      </c>
      <c r="O150" s="363" t="s">
        <v>1</v>
      </c>
      <c r="P150" s="363" t="s">
        <v>1</v>
      </c>
      <c r="Q150" s="363" t="s">
        <v>1</v>
      </c>
      <c r="R150" s="376" t="s">
        <v>1</v>
      </c>
    </row>
    <row r="154" spans="1:20" ht="22.95" customHeight="1">
      <c r="A154" s="477" t="s">
        <v>247</v>
      </c>
      <c r="B154" s="477"/>
      <c r="C154" s="477"/>
      <c r="D154" s="477"/>
      <c r="E154" s="477"/>
      <c r="F154" s="477"/>
      <c r="G154" s="477"/>
      <c r="H154" s="477"/>
      <c r="I154" s="477"/>
      <c r="J154" s="477"/>
      <c r="K154" s="477"/>
      <c r="L154" s="477"/>
      <c r="M154" s="477"/>
      <c r="N154" s="477"/>
      <c r="O154" s="477"/>
      <c r="P154" s="477"/>
      <c r="Q154" s="477"/>
      <c r="R154" s="477"/>
      <c r="S154" s="477"/>
      <c r="T154" s="477"/>
    </row>
    <row r="155" spans="1:20" ht="12.3" customHeight="1">
      <c r="A155" s="450" t="s">
        <v>69</v>
      </c>
      <c r="B155" s="451"/>
      <c r="C155" s="454" t="s">
        <v>14</v>
      </c>
      <c r="D155" s="455"/>
      <c r="E155" s="455"/>
      <c r="F155" s="455"/>
      <c r="G155" s="455"/>
      <c r="H155" s="455"/>
      <c r="I155" s="455"/>
      <c r="J155" s="455"/>
      <c r="K155" s="455"/>
      <c r="L155" s="455"/>
      <c r="M155" s="455"/>
      <c r="N155" s="455"/>
      <c r="O155" s="455"/>
      <c r="P155" s="455"/>
      <c r="Q155" s="455"/>
      <c r="R155" s="455"/>
    </row>
    <row r="156" spans="1:20" ht="9" customHeight="1">
      <c r="A156" s="452"/>
      <c r="B156" s="453"/>
      <c r="C156" s="33">
        <v>7</v>
      </c>
      <c r="D156" s="33">
        <v>8</v>
      </c>
      <c r="E156" s="33">
        <v>9</v>
      </c>
      <c r="F156" s="33">
        <v>10</v>
      </c>
      <c r="G156" s="33">
        <v>11</v>
      </c>
      <c r="H156" s="33">
        <v>12</v>
      </c>
      <c r="I156" s="33">
        <v>13</v>
      </c>
      <c r="J156" s="33">
        <v>14</v>
      </c>
      <c r="K156" s="33">
        <v>15</v>
      </c>
      <c r="L156" s="33">
        <v>16</v>
      </c>
      <c r="M156" s="33">
        <v>17</v>
      </c>
      <c r="N156" s="33">
        <v>18</v>
      </c>
      <c r="O156" s="33">
        <v>19</v>
      </c>
      <c r="P156" s="33">
        <v>20</v>
      </c>
      <c r="Q156" s="33">
        <v>21</v>
      </c>
      <c r="R156" s="34">
        <v>22</v>
      </c>
    </row>
    <row r="157" spans="1:20" ht="12.3" customHeight="1">
      <c r="A157" s="216">
        <v>100</v>
      </c>
      <c r="B157" s="217" t="s">
        <v>2</v>
      </c>
      <c r="C157" s="323">
        <v>53.6</v>
      </c>
      <c r="D157" s="82" t="s">
        <v>1</v>
      </c>
      <c r="E157" s="30">
        <v>75.099999999999994</v>
      </c>
      <c r="F157" s="82" t="s">
        <v>1</v>
      </c>
      <c r="G157" s="236">
        <v>110</v>
      </c>
      <c r="H157" s="82" t="s">
        <v>1</v>
      </c>
      <c r="I157" s="236">
        <v>150</v>
      </c>
      <c r="J157" s="82" t="s">
        <v>1</v>
      </c>
      <c r="K157" s="236">
        <v>210</v>
      </c>
      <c r="L157" s="82" t="s">
        <v>1</v>
      </c>
      <c r="M157" s="236">
        <v>229</v>
      </c>
      <c r="N157" s="82" t="s">
        <v>1</v>
      </c>
      <c r="O157" s="236">
        <v>295</v>
      </c>
      <c r="P157" s="82" t="s">
        <v>1</v>
      </c>
      <c r="Q157" s="236">
        <v>379</v>
      </c>
      <c r="R157" s="324" t="s">
        <v>1</v>
      </c>
    </row>
    <row r="158" spans="1:20" ht="12" customHeight="1">
      <c r="A158" s="216">
        <v>112</v>
      </c>
      <c r="B158" s="217" t="s">
        <v>2</v>
      </c>
      <c r="C158" s="323">
        <v>51.5</v>
      </c>
      <c r="D158" s="82" t="s">
        <v>1</v>
      </c>
      <c r="E158" s="30">
        <v>72.2</v>
      </c>
      <c r="F158" s="82" t="s">
        <v>1</v>
      </c>
      <c r="G158" s="236">
        <v>109</v>
      </c>
      <c r="H158" s="82" t="s">
        <v>1</v>
      </c>
      <c r="I158" s="236">
        <v>147</v>
      </c>
      <c r="J158" s="82" t="s">
        <v>1</v>
      </c>
      <c r="K158" s="236">
        <v>201</v>
      </c>
      <c r="L158" s="236">
        <v>217</v>
      </c>
      <c r="M158" s="236">
        <v>220</v>
      </c>
      <c r="N158" s="236">
        <v>237</v>
      </c>
      <c r="O158" s="236">
        <v>285</v>
      </c>
      <c r="P158" s="236">
        <v>304</v>
      </c>
      <c r="Q158" s="236">
        <v>372</v>
      </c>
      <c r="R158" s="325">
        <v>388</v>
      </c>
    </row>
    <row r="159" spans="1:20" ht="12.3" customHeight="1">
      <c r="A159" s="216">
        <v>125</v>
      </c>
      <c r="B159" s="217" t="s">
        <v>2</v>
      </c>
      <c r="C159" s="323">
        <v>50</v>
      </c>
      <c r="D159" s="30">
        <v>57.5</v>
      </c>
      <c r="E159" s="30">
        <v>70</v>
      </c>
      <c r="F159" s="30">
        <v>76.3</v>
      </c>
      <c r="G159" s="236">
        <v>105</v>
      </c>
      <c r="H159" s="236">
        <v>122</v>
      </c>
      <c r="I159" s="236">
        <v>143</v>
      </c>
      <c r="J159" s="236">
        <v>161</v>
      </c>
      <c r="K159" s="236">
        <v>195</v>
      </c>
      <c r="L159" s="236">
        <v>207</v>
      </c>
      <c r="M159" s="236">
        <v>213</v>
      </c>
      <c r="N159" s="236">
        <v>227</v>
      </c>
      <c r="O159" s="236">
        <v>278</v>
      </c>
      <c r="P159" s="236">
        <v>294</v>
      </c>
      <c r="Q159" s="236">
        <v>367</v>
      </c>
      <c r="R159" s="325">
        <v>381</v>
      </c>
    </row>
    <row r="160" spans="1:20" ht="12" customHeight="1">
      <c r="A160" s="216">
        <v>140</v>
      </c>
      <c r="B160" s="217" t="s">
        <v>2</v>
      </c>
      <c r="C160" s="323">
        <v>47.8</v>
      </c>
      <c r="D160" s="30">
        <v>55.3</v>
      </c>
      <c r="E160" s="30">
        <v>68</v>
      </c>
      <c r="F160" s="30">
        <v>73.3</v>
      </c>
      <c r="G160" s="236">
        <v>102</v>
      </c>
      <c r="H160" s="236">
        <v>122</v>
      </c>
      <c r="I160" s="236">
        <v>139</v>
      </c>
      <c r="J160" s="236">
        <v>158</v>
      </c>
      <c r="K160" s="236">
        <v>188</v>
      </c>
      <c r="L160" s="236">
        <v>201</v>
      </c>
      <c r="M160" s="236">
        <v>206</v>
      </c>
      <c r="N160" s="236">
        <v>220</v>
      </c>
      <c r="O160" s="236">
        <v>269</v>
      </c>
      <c r="P160" s="236">
        <v>286</v>
      </c>
      <c r="Q160" s="236">
        <v>355</v>
      </c>
      <c r="R160" s="325">
        <v>375</v>
      </c>
    </row>
    <row r="161" spans="1:20" ht="12.3" customHeight="1">
      <c r="A161" s="216">
        <v>160</v>
      </c>
      <c r="B161" s="217" t="s">
        <v>2</v>
      </c>
      <c r="C161" s="323">
        <v>46</v>
      </c>
      <c r="D161" s="30">
        <v>53.7</v>
      </c>
      <c r="E161" s="30">
        <v>64.400000000000006</v>
      </c>
      <c r="F161" s="30">
        <v>71.2</v>
      </c>
      <c r="G161" s="30">
        <v>97.3</v>
      </c>
      <c r="H161" s="236">
        <v>117</v>
      </c>
      <c r="I161" s="236">
        <v>132</v>
      </c>
      <c r="J161" s="236">
        <v>153</v>
      </c>
      <c r="K161" s="236">
        <v>181</v>
      </c>
      <c r="L161" s="236">
        <v>194</v>
      </c>
      <c r="M161" s="236">
        <v>198</v>
      </c>
      <c r="N161" s="236">
        <v>213</v>
      </c>
      <c r="O161" s="236">
        <v>260</v>
      </c>
      <c r="P161" s="236">
        <v>277</v>
      </c>
      <c r="Q161" s="236">
        <v>344</v>
      </c>
      <c r="R161" s="325">
        <v>362</v>
      </c>
    </row>
    <row r="162" spans="1:20" ht="12" customHeight="1">
      <c r="A162" s="216">
        <v>180</v>
      </c>
      <c r="B162" s="217" t="s">
        <v>2</v>
      </c>
      <c r="C162" s="323">
        <v>44.4</v>
      </c>
      <c r="D162" s="30">
        <v>51.3</v>
      </c>
      <c r="E162" s="30">
        <v>61.9</v>
      </c>
      <c r="F162" s="30">
        <v>69</v>
      </c>
      <c r="G162" s="30">
        <v>93.9</v>
      </c>
      <c r="H162" s="236">
        <v>113</v>
      </c>
      <c r="I162" s="236">
        <v>127</v>
      </c>
      <c r="J162" s="236">
        <v>149</v>
      </c>
      <c r="K162" s="236">
        <v>178</v>
      </c>
      <c r="L162" s="236">
        <v>187</v>
      </c>
      <c r="M162" s="236">
        <v>194</v>
      </c>
      <c r="N162" s="236">
        <v>205</v>
      </c>
      <c r="O162" s="236">
        <v>251</v>
      </c>
      <c r="P162" s="236">
        <v>268</v>
      </c>
      <c r="Q162" s="236">
        <v>340</v>
      </c>
      <c r="R162" s="325">
        <v>351</v>
      </c>
    </row>
    <row r="163" spans="1:20" ht="12.3" customHeight="1">
      <c r="A163" s="216">
        <v>200</v>
      </c>
      <c r="B163" s="217" t="s">
        <v>2</v>
      </c>
      <c r="C163" s="323">
        <v>43.3</v>
      </c>
      <c r="D163" s="30">
        <v>49.4</v>
      </c>
      <c r="E163" s="30">
        <v>60.5</v>
      </c>
      <c r="F163" s="30">
        <v>65.400000000000006</v>
      </c>
      <c r="G163" s="30">
        <v>90.5</v>
      </c>
      <c r="H163" s="236">
        <v>108</v>
      </c>
      <c r="I163" s="236">
        <v>126</v>
      </c>
      <c r="J163" s="236">
        <v>141</v>
      </c>
      <c r="K163" s="236">
        <v>176</v>
      </c>
      <c r="L163" s="236">
        <v>183</v>
      </c>
      <c r="M163" s="236">
        <v>190</v>
      </c>
      <c r="N163" s="236">
        <v>201</v>
      </c>
      <c r="O163" s="236">
        <v>246</v>
      </c>
      <c r="P163" s="236">
        <v>258</v>
      </c>
      <c r="Q163" s="236">
        <v>346</v>
      </c>
      <c r="R163" s="325">
        <v>346</v>
      </c>
    </row>
    <row r="164" spans="1:20" ht="12" customHeight="1">
      <c r="A164" s="216">
        <v>224</v>
      </c>
      <c r="B164" s="217" t="s">
        <v>2</v>
      </c>
      <c r="C164" s="323">
        <v>40.4</v>
      </c>
      <c r="D164" s="30">
        <v>47.7</v>
      </c>
      <c r="E164" s="30">
        <v>57.8</v>
      </c>
      <c r="F164" s="30">
        <v>62.8</v>
      </c>
      <c r="G164" s="30">
        <v>86.6</v>
      </c>
      <c r="H164" s="236">
        <v>104</v>
      </c>
      <c r="I164" s="236">
        <v>120</v>
      </c>
      <c r="J164" s="236">
        <v>136</v>
      </c>
      <c r="K164" s="236">
        <v>165</v>
      </c>
      <c r="L164" s="236">
        <v>181</v>
      </c>
      <c r="M164" s="236">
        <v>178</v>
      </c>
      <c r="N164" s="236">
        <v>196</v>
      </c>
      <c r="O164" s="236">
        <v>238</v>
      </c>
      <c r="P164" s="236">
        <v>253</v>
      </c>
      <c r="Q164" s="236">
        <v>332</v>
      </c>
      <c r="R164" s="325">
        <v>352</v>
      </c>
    </row>
    <row r="165" spans="1:20" ht="12.3" customHeight="1">
      <c r="A165" s="216">
        <v>250</v>
      </c>
      <c r="B165" s="217" t="s">
        <v>2</v>
      </c>
      <c r="C165" s="323">
        <v>38.299999999999997</v>
      </c>
      <c r="D165" s="30">
        <v>46.4</v>
      </c>
      <c r="E165" s="30">
        <v>54.8</v>
      </c>
      <c r="F165" s="30">
        <v>61.3</v>
      </c>
      <c r="G165" s="30">
        <v>81.5</v>
      </c>
      <c r="H165" s="236">
        <v>100</v>
      </c>
      <c r="I165" s="236">
        <v>114</v>
      </c>
      <c r="J165" s="236">
        <v>134</v>
      </c>
      <c r="K165" s="236">
        <v>157</v>
      </c>
      <c r="L165" s="236">
        <v>170</v>
      </c>
      <c r="M165" s="236">
        <v>170</v>
      </c>
      <c r="N165" s="236">
        <v>184</v>
      </c>
      <c r="O165" s="236">
        <v>227</v>
      </c>
      <c r="P165" s="236">
        <v>244</v>
      </c>
      <c r="Q165" s="236">
        <v>317</v>
      </c>
      <c r="R165" s="325">
        <v>338</v>
      </c>
    </row>
    <row r="166" spans="1:20" ht="12" customHeight="1">
      <c r="A166" s="216">
        <v>280</v>
      </c>
      <c r="B166" s="217" t="s">
        <v>2</v>
      </c>
      <c r="C166" s="323">
        <v>37</v>
      </c>
      <c r="D166" s="30">
        <v>43.3</v>
      </c>
      <c r="E166" s="30">
        <v>52.9</v>
      </c>
      <c r="F166" s="30">
        <v>58.6</v>
      </c>
      <c r="G166" s="30">
        <v>77.900000000000006</v>
      </c>
      <c r="H166" s="30">
        <v>95.8</v>
      </c>
      <c r="I166" s="236">
        <v>111</v>
      </c>
      <c r="J166" s="236">
        <v>128</v>
      </c>
      <c r="K166" s="236">
        <v>152</v>
      </c>
      <c r="L166" s="236">
        <v>162</v>
      </c>
      <c r="M166" s="236">
        <v>166</v>
      </c>
      <c r="N166" s="236">
        <v>175</v>
      </c>
      <c r="O166" s="236">
        <v>219</v>
      </c>
      <c r="P166" s="236">
        <v>233</v>
      </c>
      <c r="Q166" s="236">
        <v>308</v>
      </c>
      <c r="R166" s="325">
        <v>322</v>
      </c>
    </row>
    <row r="167" spans="1:20" ht="12.3" customHeight="1">
      <c r="A167" s="216">
        <v>315</v>
      </c>
      <c r="B167" s="217" t="s">
        <v>2</v>
      </c>
      <c r="C167" s="323">
        <v>36.1</v>
      </c>
      <c r="D167" s="30">
        <v>41.1</v>
      </c>
      <c r="E167" s="30">
        <v>50</v>
      </c>
      <c r="F167" s="30">
        <v>55.6</v>
      </c>
      <c r="G167" s="30">
        <v>75.900000000000006</v>
      </c>
      <c r="H167" s="30">
        <v>90.1</v>
      </c>
      <c r="I167" s="236">
        <v>105</v>
      </c>
      <c r="J167" s="236">
        <v>122</v>
      </c>
      <c r="K167" s="236">
        <v>145</v>
      </c>
      <c r="L167" s="236">
        <v>157</v>
      </c>
      <c r="M167" s="236">
        <v>158</v>
      </c>
      <c r="N167" s="236">
        <v>172</v>
      </c>
      <c r="O167" s="236">
        <v>214</v>
      </c>
      <c r="P167" s="236">
        <v>225</v>
      </c>
      <c r="Q167" s="236">
        <v>297</v>
      </c>
      <c r="R167" s="325">
        <v>313</v>
      </c>
    </row>
    <row r="168" spans="1:20" ht="12" customHeight="1">
      <c r="A168" s="216">
        <v>355</v>
      </c>
      <c r="B168" s="217" t="s">
        <v>2</v>
      </c>
      <c r="C168" s="323">
        <v>34.1</v>
      </c>
      <c r="D168" s="30">
        <v>39.700000000000003</v>
      </c>
      <c r="E168" s="30">
        <v>48.8</v>
      </c>
      <c r="F168" s="30">
        <v>53.6</v>
      </c>
      <c r="G168" s="30">
        <v>71.7</v>
      </c>
      <c r="H168" s="30">
        <v>86.2</v>
      </c>
      <c r="I168" s="236">
        <v>100</v>
      </c>
      <c r="J168" s="236">
        <v>118</v>
      </c>
      <c r="K168" s="236">
        <v>141</v>
      </c>
      <c r="L168" s="236">
        <v>149</v>
      </c>
      <c r="M168" s="236">
        <v>154</v>
      </c>
      <c r="N168" s="236">
        <v>163</v>
      </c>
      <c r="O168" s="236">
        <v>203</v>
      </c>
      <c r="P168" s="236">
        <v>219</v>
      </c>
      <c r="Q168" s="236">
        <v>283</v>
      </c>
      <c r="R168" s="325">
        <v>302</v>
      </c>
    </row>
    <row r="169" spans="1:20" ht="12.3" customHeight="1">
      <c r="A169" s="216">
        <v>400</v>
      </c>
      <c r="B169" s="217" t="s">
        <v>2</v>
      </c>
      <c r="C169" s="179" t="s">
        <v>1</v>
      </c>
      <c r="D169" s="30">
        <v>38.700000000000003</v>
      </c>
      <c r="E169" s="82" t="s">
        <v>1</v>
      </c>
      <c r="F169" s="30">
        <v>50.7</v>
      </c>
      <c r="G169" s="82" t="s">
        <v>1</v>
      </c>
      <c r="H169" s="30">
        <v>83.9</v>
      </c>
      <c r="I169" s="82" t="s">
        <v>1</v>
      </c>
      <c r="J169" s="236">
        <v>112</v>
      </c>
      <c r="K169" s="82" t="s">
        <v>1</v>
      </c>
      <c r="L169" s="236">
        <v>145</v>
      </c>
      <c r="M169" s="82" t="s">
        <v>1</v>
      </c>
      <c r="N169" s="236">
        <v>159</v>
      </c>
      <c r="O169" s="82" t="s">
        <v>1</v>
      </c>
      <c r="P169" s="236">
        <v>208</v>
      </c>
      <c r="Q169" s="82" t="s">
        <v>1</v>
      </c>
      <c r="R169" s="325">
        <v>287</v>
      </c>
    </row>
    <row r="170" spans="1:20" ht="12" customHeight="1">
      <c r="A170" s="361">
        <v>450</v>
      </c>
      <c r="B170" s="402" t="s">
        <v>2</v>
      </c>
      <c r="C170" s="362" t="s">
        <v>1</v>
      </c>
      <c r="D170" s="390">
        <v>36.5</v>
      </c>
      <c r="E170" s="363" t="s">
        <v>1</v>
      </c>
      <c r="F170" s="390">
        <v>49.5</v>
      </c>
      <c r="G170" s="363" t="s">
        <v>1</v>
      </c>
      <c r="H170" s="390">
        <v>79.3</v>
      </c>
      <c r="I170" s="363" t="s">
        <v>1</v>
      </c>
      <c r="J170" s="391">
        <v>106</v>
      </c>
      <c r="K170" s="363" t="s">
        <v>1</v>
      </c>
      <c r="L170" s="363" t="s">
        <v>1</v>
      </c>
      <c r="M170" s="363" t="s">
        <v>1</v>
      </c>
      <c r="N170" s="363" t="s">
        <v>1</v>
      </c>
      <c r="O170" s="363" t="s">
        <v>1</v>
      </c>
      <c r="P170" s="363" t="s">
        <v>1</v>
      </c>
      <c r="Q170" s="363" t="s">
        <v>1</v>
      </c>
      <c r="R170" s="376" t="s">
        <v>1</v>
      </c>
    </row>
    <row r="174" spans="1:20" ht="40.799999999999997" customHeight="1">
      <c r="A174" s="449" t="s">
        <v>248</v>
      </c>
      <c r="B174" s="449"/>
      <c r="C174" s="449"/>
      <c r="D174" s="449"/>
      <c r="E174" s="449"/>
      <c r="F174" s="449"/>
      <c r="G174" s="449"/>
      <c r="H174" s="449"/>
      <c r="I174" s="449"/>
      <c r="J174" s="449"/>
      <c r="K174" s="449"/>
      <c r="L174" s="449"/>
      <c r="M174" s="449"/>
      <c r="N174" s="449"/>
      <c r="O174" s="449"/>
      <c r="P174" s="449"/>
      <c r="Q174" s="449"/>
      <c r="R174" s="449"/>
      <c r="S174" s="449"/>
      <c r="T174" s="449"/>
    </row>
    <row r="175" spans="1:20" ht="12.3" customHeight="1">
      <c r="A175" s="450" t="s">
        <v>69</v>
      </c>
      <c r="B175" s="451"/>
      <c r="C175" s="454" t="s">
        <v>14</v>
      </c>
      <c r="D175" s="455"/>
      <c r="E175" s="455"/>
      <c r="F175" s="455"/>
      <c r="G175" s="455"/>
      <c r="H175" s="455"/>
      <c r="I175" s="455"/>
      <c r="J175" s="455"/>
      <c r="K175" s="455"/>
      <c r="L175" s="455"/>
      <c r="M175" s="455"/>
      <c r="N175" s="455"/>
      <c r="O175" s="455"/>
      <c r="P175" s="455"/>
      <c r="Q175" s="455"/>
      <c r="R175" s="455"/>
    </row>
    <row r="176" spans="1:20" ht="9" customHeight="1">
      <c r="A176" s="452"/>
      <c r="B176" s="453"/>
      <c r="C176" s="33">
        <v>7</v>
      </c>
      <c r="D176" s="33">
        <v>8</v>
      </c>
      <c r="E176" s="33">
        <v>9</v>
      </c>
      <c r="F176" s="33">
        <v>10</v>
      </c>
      <c r="G176" s="33">
        <v>11</v>
      </c>
      <c r="H176" s="33">
        <v>12</v>
      </c>
      <c r="I176" s="33">
        <v>13</v>
      </c>
      <c r="J176" s="33">
        <v>14</v>
      </c>
      <c r="K176" s="33">
        <v>15</v>
      </c>
      <c r="L176" s="33">
        <v>16</v>
      </c>
      <c r="M176" s="33">
        <v>17</v>
      </c>
      <c r="N176" s="33">
        <v>18</v>
      </c>
      <c r="O176" s="33">
        <v>19</v>
      </c>
      <c r="P176" s="33">
        <v>20</v>
      </c>
      <c r="Q176" s="33">
        <v>21</v>
      </c>
      <c r="R176" s="34">
        <v>22</v>
      </c>
    </row>
    <row r="177" spans="1:18" ht="12.3" customHeight="1">
      <c r="A177" s="216">
        <v>100</v>
      </c>
      <c r="B177" s="217" t="s">
        <v>2</v>
      </c>
      <c r="C177" s="323">
        <v>57.1</v>
      </c>
      <c r="D177" s="82" t="s">
        <v>1</v>
      </c>
      <c r="E177" s="30">
        <v>79.900000000000006</v>
      </c>
      <c r="F177" s="82" t="s">
        <v>1</v>
      </c>
      <c r="G177" s="236">
        <v>116</v>
      </c>
      <c r="H177" s="82" t="s">
        <v>1</v>
      </c>
      <c r="I177" s="236">
        <v>157</v>
      </c>
      <c r="J177" s="82" t="s">
        <v>1</v>
      </c>
      <c r="K177" s="236">
        <v>218</v>
      </c>
      <c r="L177" s="82" t="s">
        <v>1</v>
      </c>
      <c r="M177" s="236">
        <v>239</v>
      </c>
      <c r="N177" s="82" t="s">
        <v>1</v>
      </c>
      <c r="O177" s="236">
        <v>302</v>
      </c>
      <c r="P177" s="82" t="s">
        <v>1</v>
      </c>
      <c r="Q177" s="236">
        <v>371</v>
      </c>
      <c r="R177" s="324" t="s">
        <v>1</v>
      </c>
    </row>
    <row r="178" spans="1:18" ht="12" customHeight="1">
      <c r="A178" s="216">
        <v>112</v>
      </c>
      <c r="B178" s="217" t="s">
        <v>2</v>
      </c>
      <c r="C178" s="323">
        <v>54.9</v>
      </c>
      <c r="D178" s="82" t="s">
        <v>1</v>
      </c>
      <c r="E178" s="30">
        <v>76.900000000000006</v>
      </c>
      <c r="F178" s="82" t="s">
        <v>1</v>
      </c>
      <c r="G178" s="236">
        <v>116</v>
      </c>
      <c r="H178" s="82" t="s">
        <v>1</v>
      </c>
      <c r="I178" s="236">
        <v>155</v>
      </c>
      <c r="J178" s="82" t="s">
        <v>1</v>
      </c>
      <c r="K178" s="236">
        <v>210</v>
      </c>
      <c r="L178" s="236">
        <v>225</v>
      </c>
      <c r="M178" s="236">
        <v>230</v>
      </c>
      <c r="N178" s="236">
        <v>248</v>
      </c>
      <c r="O178" s="236">
        <v>293</v>
      </c>
      <c r="P178" s="236">
        <v>312</v>
      </c>
      <c r="Q178" s="236">
        <v>370</v>
      </c>
      <c r="R178" s="325">
        <v>381</v>
      </c>
    </row>
    <row r="179" spans="1:18" ht="12.3" customHeight="1">
      <c r="A179" s="216">
        <v>125</v>
      </c>
      <c r="B179" s="217" t="s">
        <v>2</v>
      </c>
      <c r="C179" s="323">
        <v>53.5</v>
      </c>
      <c r="D179" s="30">
        <v>61.5</v>
      </c>
      <c r="E179" s="30">
        <v>74.8</v>
      </c>
      <c r="F179" s="30">
        <v>81.2</v>
      </c>
      <c r="G179" s="236">
        <v>112</v>
      </c>
      <c r="H179" s="236">
        <v>130</v>
      </c>
      <c r="I179" s="236">
        <v>151</v>
      </c>
      <c r="J179" s="236">
        <v>169</v>
      </c>
      <c r="K179" s="236">
        <v>204</v>
      </c>
      <c r="L179" s="236">
        <v>217</v>
      </c>
      <c r="M179" s="236">
        <v>224</v>
      </c>
      <c r="N179" s="236">
        <v>239</v>
      </c>
      <c r="O179" s="236">
        <v>288</v>
      </c>
      <c r="P179" s="236">
        <v>303</v>
      </c>
      <c r="Q179" s="236">
        <v>370</v>
      </c>
      <c r="R179" s="325">
        <v>380</v>
      </c>
    </row>
    <row r="180" spans="1:18" ht="12" customHeight="1">
      <c r="A180" s="216">
        <v>140</v>
      </c>
      <c r="B180" s="217" t="s">
        <v>2</v>
      </c>
      <c r="C180" s="323">
        <v>51.2</v>
      </c>
      <c r="D180" s="30">
        <v>59.1</v>
      </c>
      <c r="E180" s="30">
        <v>72.599999999999994</v>
      </c>
      <c r="F180" s="30">
        <v>78.2</v>
      </c>
      <c r="G180" s="236">
        <v>109</v>
      </c>
      <c r="H180" s="236">
        <v>129</v>
      </c>
      <c r="I180" s="236">
        <v>147</v>
      </c>
      <c r="J180" s="236">
        <v>166</v>
      </c>
      <c r="K180" s="236">
        <v>198</v>
      </c>
      <c r="L180" s="236">
        <v>211</v>
      </c>
      <c r="M180" s="236">
        <v>217</v>
      </c>
      <c r="N180" s="236">
        <v>232</v>
      </c>
      <c r="O180" s="236">
        <v>281</v>
      </c>
      <c r="P180" s="236">
        <v>297</v>
      </c>
      <c r="Q180" s="236">
        <v>362</v>
      </c>
      <c r="R180" s="325">
        <v>379</v>
      </c>
    </row>
    <row r="181" spans="1:18" ht="12.3" customHeight="1">
      <c r="A181" s="216">
        <v>160</v>
      </c>
      <c r="B181" s="217" t="s">
        <v>2</v>
      </c>
      <c r="C181" s="323">
        <v>49.3</v>
      </c>
      <c r="D181" s="30">
        <v>57.5</v>
      </c>
      <c r="E181" s="30">
        <v>68.900000000000006</v>
      </c>
      <c r="F181" s="30">
        <v>76.099999999999994</v>
      </c>
      <c r="G181" s="236">
        <v>104</v>
      </c>
      <c r="H181" s="236">
        <v>124</v>
      </c>
      <c r="I181" s="236">
        <v>140</v>
      </c>
      <c r="J181" s="236">
        <v>162</v>
      </c>
      <c r="K181" s="236">
        <v>191</v>
      </c>
      <c r="L181" s="236">
        <v>205</v>
      </c>
      <c r="M181" s="236">
        <v>210</v>
      </c>
      <c r="N181" s="236">
        <v>225</v>
      </c>
      <c r="O181" s="236">
        <v>272</v>
      </c>
      <c r="P181" s="236">
        <v>290</v>
      </c>
      <c r="Q181" s="236">
        <v>354</v>
      </c>
      <c r="R181" s="325">
        <v>371</v>
      </c>
    </row>
    <row r="182" spans="1:18" ht="12" customHeight="1">
      <c r="A182" s="216">
        <v>180</v>
      </c>
      <c r="B182" s="217" t="s">
        <v>2</v>
      </c>
      <c r="C182" s="323">
        <v>47.7</v>
      </c>
      <c r="D182" s="30">
        <v>55</v>
      </c>
      <c r="E182" s="30">
        <v>66.3</v>
      </c>
      <c r="F182" s="30">
        <v>73.8</v>
      </c>
      <c r="G182" s="236">
        <v>100</v>
      </c>
      <c r="H182" s="236">
        <v>121</v>
      </c>
      <c r="I182" s="236">
        <v>135</v>
      </c>
      <c r="J182" s="236">
        <v>158</v>
      </c>
      <c r="K182" s="236">
        <v>188</v>
      </c>
      <c r="L182" s="236">
        <v>198</v>
      </c>
      <c r="M182" s="236">
        <v>206</v>
      </c>
      <c r="N182" s="236">
        <v>217</v>
      </c>
      <c r="O182" s="236">
        <v>263</v>
      </c>
      <c r="P182" s="236">
        <v>281</v>
      </c>
      <c r="Q182" s="236">
        <v>351</v>
      </c>
      <c r="R182" s="325">
        <v>362</v>
      </c>
    </row>
    <row r="183" spans="1:18" ht="12.3" customHeight="1">
      <c r="A183" s="216">
        <v>200</v>
      </c>
      <c r="B183" s="217" t="s">
        <v>2</v>
      </c>
      <c r="C183" s="323">
        <v>46.6</v>
      </c>
      <c r="D183" s="30">
        <v>53</v>
      </c>
      <c r="E183" s="30">
        <v>65.2</v>
      </c>
      <c r="F183" s="30">
        <v>70</v>
      </c>
      <c r="G183" s="30">
        <v>97.3</v>
      </c>
      <c r="H183" s="236">
        <v>115</v>
      </c>
      <c r="I183" s="236">
        <v>135</v>
      </c>
      <c r="J183" s="236">
        <v>150</v>
      </c>
      <c r="K183" s="236">
        <v>188</v>
      </c>
      <c r="L183" s="236">
        <v>194</v>
      </c>
      <c r="M183" s="236">
        <v>203</v>
      </c>
      <c r="N183" s="236">
        <v>213</v>
      </c>
      <c r="O183" s="236">
        <v>261</v>
      </c>
      <c r="P183" s="236">
        <v>271</v>
      </c>
      <c r="Q183" s="236">
        <v>365</v>
      </c>
      <c r="R183" s="325">
        <v>358</v>
      </c>
    </row>
    <row r="184" spans="1:18" ht="12" customHeight="1">
      <c r="A184" s="216">
        <v>224</v>
      </c>
      <c r="B184" s="217" t="s">
        <v>2</v>
      </c>
      <c r="C184" s="323">
        <v>43.6</v>
      </c>
      <c r="D184" s="30">
        <v>51.2</v>
      </c>
      <c r="E184" s="30">
        <v>62.3</v>
      </c>
      <c r="F184" s="30">
        <v>67.400000000000006</v>
      </c>
      <c r="G184" s="30">
        <v>93.3</v>
      </c>
      <c r="H184" s="236">
        <v>111</v>
      </c>
      <c r="I184" s="236">
        <v>129</v>
      </c>
      <c r="J184" s="236">
        <v>145</v>
      </c>
      <c r="K184" s="236">
        <v>177</v>
      </c>
      <c r="L184" s="236">
        <v>194</v>
      </c>
      <c r="M184" s="236">
        <v>191</v>
      </c>
      <c r="N184" s="236">
        <v>210</v>
      </c>
      <c r="O184" s="236">
        <v>252</v>
      </c>
      <c r="P184" s="236">
        <v>269</v>
      </c>
      <c r="Q184" s="236">
        <v>351</v>
      </c>
      <c r="R184" s="325">
        <v>372</v>
      </c>
    </row>
    <row r="185" spans="1:18" ht="12.3" customHeight="1">
      <c r="A185" s="216">
        <v>250</v>
      </c>
      <c r="B185" s="217" t="s">
        <v>2</v>
      </c>
      <c r="C185" s="323">
        <v>41.4</v>
      </c>
      <c r="D185" s="30">
        <v>50</v>
      </c>
      <c r="E185" s="30">
        <v>59.2</v>
      </c>
      <c r="F185" s="30">
        <v>66.2</v>
      </c>
      <c r="G185" s="30">
        <v>87.9</v>
      </c>
      <c r="H185" s="236">
        <v>108</v>
      </c>
      <c r="I185" s="236">
        <v>123</v>
      </c>
      <c r="J185" s="236">
        <v>144</v>
      </c>
      <c r="K185" s="236">
        <v>168</v>
      </c>
      <c r="L185" s="236">
        <v>182</v>
      </c>
      <c r="M185" s="236">
        <v>182</v>
      </c>
      <c r="N185" s="236">
        <v>197</v>
      </c>
      <c r="O185" s="236">
        <v>242</v>
      </c>
      <c r="P185" s="236">
        <v>260</v>
      </c>
      <c r="Q185" s="236">
        <v>336</v>
      </c>
      <c r="R185" s="325">
        <v>358</v>
      </c>
    </row>
    <row r="186" spans="1:18" ht="12" customHeight="1">
      <c r="A186" s="216">
        <v>280</v>
      </c>
      <c r="B186" s="217" t="s">
        <v>2</v>
      </c>
      <c r="C186" s="323">
        <v>40</v>
      </c>
      <c r="D186" s="30">
        <v>46.8</v>
      </c>
      <c r="E186" s="30">
        <v>57.2</v>
      </c>
      <c r="F186" s="30">
        <v>63.2</v>
      </c>
      <c r="G186" s="30">
        <v>84.1</v>
      </c>
      <c r="H186" s="236">
        <v>103</v>
      </c>
      <c r="I186" s="236">
        <v>119</v>
      </c>
      <c r="J186" s="236">
        <v>138</v>
      </c>
      <c r="K186" s="236">
        <v>164</v>
      </c>
      <c r="L186" s="236">
        <v>173</v>
      </c>
      <c r="M186" s="236">
        <v>179</v>
      </c>
      <c r="N186" s="236">
        <v>188</v>
      </c>
      <c r="O186" s="236">
        <v>233</v>
      </c>
      <c r="P186" s="236">
        <v>249</v>
      </c>
      <c r="Q186" s="236">
        <v>328</v>
      </c>
      <c r="R186" s="325">
        <v>342</v>
      </c>
    </row>
    <row r="187" spans="1:18" ht="12.3" customHeight="1">
      <c r="A187" s="216">
        <v>315</v>
      </c>
      <c r="B187" s="217" t="s">
        <v>2</v>
      </c>
      <c r="C187" s="323">
        <v>39.1</v>
      </c>
      <c r="D187" s="30">
        <v>44.4</v>
      </c>
      <c r="E187" s="30">
        <v>54.2</v>
      </c>
      <c r="F187" s="30">
        <v>60.1</v>
      </c>
      <c r="G187" s="30">
        <v>82</v>
      </c>
      <c r="H187" s="30">
        <v>97.2</v>
      </c>
      <c r="I187" s="236">
        <v>114</v>
      </c>
      <c r="J187" s="236">
        <v>131</v>
      </c>
      <c r="K187" s="236">
        <v>156</v>
      </c>
      <c r="L187" s="236">
        <v>169</v>
      </c>
      <c r="M187" s="236">
        <v>170</v>
      </c>
      <c r="N187" s="236">
        <v>185</v>
      </c>
      <c r="O187" s="236">
        <v>228</v>
      </c>
      <c r="P187" s="236">
        <v>240</v>
      </c>
      <c r="Q187" s="236">
        <v>317</v>
      </c>
      <c r="R187" s="325">
        <v>333</v>
      </c>
    </row>
    <row r="188" spans="1:18" ht="12" customHeight="1">
      <c r="A188" s="216">
        <v>355</v>
      </c>
      <c r="B188" s="217" t="s">
        <v>2</v>
      </c>
      <c r="C188" s="323">
        <v>36.9</v>
      </c>
      <c r="D188" s="30">
        <v>43</v>
      </c>
      <c r="E188" s="30">
        <v>52.9</v>
      </c>
      <c r="F188" s="30">
        <v>58</v>
      </c>
      <c r="G188" s="30">
        <v>77.599999999999994</v>
      </c>
      <c r="H188" s="30">
        <v>93.1</v>
      </c>
      <c r="I188" s="236">
        <v>108</v>
      </c>
      <c r="J188" s="236">
        <v>127</v>
      </c>
      <c r="K188" s="236">
        <v>152</v>
      </c>
      <c r="L188" s="236">
        <v>161</v>
      </c>
      <c r="M188" s="236">
        <v>166</v>
      </c>
      <c r="N188" s="236">
        <v>176</v>
      </c>
      <c r="O188" s="236">
        <v>217</v>
      </c>
      <c r="P188" s="236">
        <v>234</v>
      </c>
      <c r="Q188" s="236">
        <v>302</v>
      </c>
      <c r="R188" s="325">
        <v>322</v>
      </c>
    </row>
    <row r="189" spans="1:18" ht="12.3" customHeight="1">
      <c r="A189" s="216">
        <v>400</v>
      </c>
      <c r="B189" s="217" t="s">
        <v>2</v>
      </c>
      <c r="C189" s="179" t="s">
        <v>1</v>
      </c>
      <c r="D189" s="30">
        <v>41.9</v>
      </c>
      <c r="E189" s="82" t="s">
        <v>1</v>
      </c>
      <c r="F189" s="30">
        <v>55</v>
      </c>
      <c r="G189" s="82" t="s">
        <v>1</v>
      </c>
      <c r="H189" s="30">
        <v>90.7</v>
      </c>
      <c r="I189" s="82" t="s">
        <v>1</v>
      </c>
      <c r="J189" s="236">
        <v>121</v>
      </c>
      <c r="K189" s="82" t="s">
        <v>1</v>
      </c>
      <c r="L189" s="236">
        <v>157</v>
      </c>
      <c r="M189" s="82" t="s">
        <v>1</v>
      </c>
      <c r="N189" s="236">
        <v>172</v>
      </c>
      <c r="O189" s="82" t="s">
        <v>1</v>
      </c>
      <c r="P189" s="236">
        <v>223</v>
      </c>
      <c r="Q189" s="82" t="s">
        <v>1</v>
      </c>
      <c r="R189" s="325">
        <v>307</v>
      </c>
    </row>
    <row r="190" spans="1:18" ht="12" customHeight="1">
      <c r="A190" s="361">
        <v>450</v>
      </c>
      <c r="B190" s="402" t="s">
        <v>2</v>
      </c>
      <c r="C190" s="362" t="s">
        <v>1</v>
      </c>
      <c r="D190" s="390">
        <v>39.5</v>
      </c>
      <c r="E190" s="363" t="s">
        <v>1</v>
      </c>
      <c r="F190" s="390">
        <v>53.6</v>
      </c>
      <c r="G190" s="363" t="s">
        <v>1</v>
      </c>
      <c r="H190" s="390">
        <v>85.8</v>
      </c>
      <c r="I190" s="363" t="s">
        <v>1</v>
      </c>
      <c r="J190" s="391">
        <v>115</v>
      </c>
      <c r="K190" s="363" t="s">
        <v>1</v>
      </c>
      <c r="L190" s="363" t="s">
        <v>1</v>
      </c>
      <c r="M190" s="363" t="s">
        <v>1</v>
      </c>
      <c r="N190" s="363" t="s">
        <v>1</v>
      </c>
      <c r="O190" s="363" t="s">
        <v>1</v>
      </c>
      <c r="P190" s="363" t="s">
        <v>1</v>
      </c>
      <c r="Q190" s="363" t="s">
        <v>1</v>
      </c>
      <c r="R190" s="376" t="s">
        <v>1</v>
      </c>
    </row>
    <row r="194" spans="1:20" ht="22.95" customHeight="1">
      <c r="A194" s="477" t="s">
        <v>249</v>
      </c>
      <c r="B194" s="477"/>
      <c r="C194" s="477"/>
      <c r="D194" s="477"/>
      <c r="E194" s="477"/>
      <c r="F194" s="477"/>
      <c r="G194" s="477"/>
      <c r="H194" s="477"/>
      <c r="I194" s="477"/>
      <c r="J194" s="477"/>
      <c r="K194" s="477"/>
      <c r="L194" s="477"/>
      <c r="M194" s="477"/>
      <c r="N194" s="477"/>
      <c r="O194" s="477"/>
      <c r="P194" s="477"/>
      <c r="Q194" s="477"/>
      <c r="R194" s="477"/>
      <c r="S194" s="477"/>
      <c r="T194" s="477"/>
    </row>
    <row r="195" spans="1:20" ht="12.3" customHeight="1">
      <c r="A195" s="450" t="s">
        <v>69</v>
      </c>
      <c r="B195" s="451"/>
      <c r="C195" s="454" t="s">
        <v>14</v>
      </c>
      <c r="D195" s="455"/>
      <c r="E195" s="455"/>
      <c r="F195" s="455"/>
      <c r="G195" s="455"/>
      <c r="H195" s="455"/>
      <c r="I195" s="455"/>
      <c r="J195" s="455"/>
      <c r="K195" s="455"/>
      <c r="L195" s="455"/>
      <c r="M195" s="455"/>
      <c r="N195" s="455"/>
      <c r="O195" s="455"/>
      <c r="P195" s="455"/>
      <c r="Q195" s="455"/>
      <c r="R195" s="455"/>
    </row>
    <row r="196" spans="1:20" ht="9" customHeight="1">
      <c r="A196" s="452"/>
      <c r="B196" s="453"/>
      <c r="C196" s="33">
        <v>7</v>
      </c>
      <c r="D196" s="33">
        <v>8</v>
      </c>
      <c r="E196" s="33">
        <v>9</v>
      </c>
      <c r="F196" s="33">
        <v>10</v>
      </c>
      <c r="G196" s="33">
        <v>11</v>
      </c>
      <c r="H196" s="33">
        <v>12</v>
      </c>
      <c r="I196" s="33">
        <v>13</v>
      </c>
      <c r="J196" s="33">
        <v>14</v>
      </c>
      <c r="K196" s="33">
        <v>15</v>
      </c>
      <c r="L196" s="33">
        <v>16</v>
      </c>
      <c r="M196" s="33">
        <v>17</v>
      </c>
      <c r="N196" s="33">
        <v>18</v>
      </c>
      <c r="O196" s="33">
        <v>19</v>
      </c>
      <c r="P196" s="33">
        <v>20</v>
      </c>
      <c r="Q196" s="33">
        <v>21</v>
      </c>
      <c r="R196" s="34">
        <v>22</v>
      </c>
    </row>
    <row r="197" spans="1:20" ht="12.3" customHeight="1">
      <c r="A197" s="216">
        <v>100</v>
      </c>
      <c r="B197" s="217" t="s">
        <v>2</v>
      </c>
      <c r="C197" s="323">
        <v>59.8</v>
      </c>
      <c r="D197" s="82" t="s">
        <v>1</v>
      </c>
      <c r="E197" s="30">
        <v>83.5</v>
      </c>
      <c r="F197" s="82" t="s">
        <v>1</v>
      </c>
      <c r="G197" s="236">
        <v>121</v>
      </c>
      <c r="H197" s="82" t="s">
        <v>1</v>
      </c>
      <c r="I197" s="236">
        <v>162</v>
      </c>
      <c r="J197" s="82" t="s">
        <v>1</v>
      </c>
      <c r="K197" s="236">
        <v>222</v>
      </c>
      <c r="L197" s="82" t="s">
        <v>1</v>
      </c>
      <c r="M197" s="236">
        <v>244</v>
      </c>
      <c r="N197" s="82" t="s">
        <v>1</v>
      </c>
      <c r="O197" s="236">
        <v>301</v>
      </c>
      <c r="P197" s="82" t="s">
        <v>1</v>
      </c>
      <c r="Q197" s="236">
        <v>347</v>
      </c>
      <c r="R197" s="324" t="s">
        <v>1</v>
      </c>
    </row>
    <row r="198" spans="1:20" ht="12" customHeight="1">
      <c r="A198" s="216">
        <v>112</v>
      </c>
      <c r="B198" s="217" t="s">
        <v>2</v>
      </c>
      <c r="C198" s="323">
        <v>57.7</v>
      </c>
      <c r="D198" s="82" t="s">
        <v>1</v>
      </c>
      <c r="E198" s="30">
        <v>80.599999999999994</v>
      </c>
      <c r="F198" s="82" t="s">
        <v>1</v>
      </c>
      <c r="G198" s="236">
        <v>121</v>
      </c>
      <c r="H198" s="82" t="s">
        <v>1</v>
      </c>
      <c r="I198" s="236">
        <v>160</v>
      </c>
      <c r="J198" s="82" t="s">
        <v>1</v>
      </c>
      <c r="K198" s="236">
        <v>215</v>
      </c>
      <c r="L198" s="236">
        <v>229</v>
      </c>
      <c r="M198" s="236">
        <v>237</v>
      </c>
      <c r="N198" s="236">
        <v>254</v>
      </c>
      <c r="O198" s="236">
        <v>297</v>
      </c>
      <c r="P198" s="236">
        <v>313</v>
      </c>
      <c r="Q198" s="236">
        <v>355</v>
      </c>
      <c r="R198" s="325">
        <v>359</v>
      </c>
    </row>
    <row r="199" spans="1:20" ht="12.3" customHeight="1">
      <c r="A199" s="216">
        <v>125</v>
      </c>
      <c r="B199" s="217" t="s">
        <v>2</v>
      </c>
      <c r="C199" s="323">
        <v>56.2</v>
      </c>
      <c r="D199" s="30">
        <v>64.5</v>
      </c>
      <c r="E199" s="30">
        <v>78.5</v>
      </c>
      <c r="F199" s="30">
        <v>85</v>
      </c>
      <c r="G199" s="236">
        <v>117</v>
      </c>
      <c r="H199" s="236">
        <v>135</v>
      </c>
      <c r="I199" s="236">
        <v>157</v>
      </c>
      <c r="J199" s="236">
        <v>174</v>
      </c>
      <c r="K199" s="236">
        <v>210</v>
      </c>
      <c r="L199" s="236">
        <v>222</v>
      </c>
      <c r="M199" s="236">
        <v>231</v>
      </c>
      <c r="N199" s="236">
        <v>246</v>
      </c>
      <c r="O199" s="236">
        <v>293</v>
      </c>
      <c r="P199" s="236">
        <v>307</v>
      </c>
      <c r="Q199" s="236">
        <v>360</v>
      </c>
      <c r="R199" s="325">
        <v>365</v>
      </c>
    </row>
    <row r="200" spans="1:20" ht="12" customHeight="1">
      <c r="A200" s="216">
        <v>140</v>
      </c>
      <c r="B200" s="217" t="s">
        <v>2</v>
      </c>
      <c r="C200" s="323">
        <v>53.8</v>
      </c>
      <c r="D200" s="30">
        <v>62.2</v>
      </c>
      <c r="E200" s="30">
        <v>76.3</v>
      </c>
      <c r="F200" s="30">
        <v>82</v>
      </c>
      <c r="G200" s="236">
        <v>114</v>
      </c>
      <c r="H200" s="236">
        <v>135</v>
      </c>
      <c r="I200" s="236">
        <v>153</v>
      </c>
      <c r="J200" s="236">
        <v>172</v>
      </c>
      <c r="K200" s="236">
        <v>205</v>
      </c>
      <c r="L200" s="236">
        <v>217</v>
      </c>
      <c r="M200" s="236">
        <v>225</v>
      </c>
      <c r="N200" s="236">
        <v>240</v>
      </c>
      <c r="O200" s="236">
        <v>287</v>
      </c>
      <c r="P200" s="236">
        <v>303</v>
      </c>
      <c r="Q200" s="236">
        <v>360</v>
      </c>
      <c r="R200" s="325">
        <v>371</v>
      </c>
    </row>
    <row r="201" spans="1:20" ht="12.3" customHeight="1">
      <c r="A201" s="216">
        <v>160</v>
      </c>
      <c r="B201" s="217" t="s">
        <v>2</v>
      </c>
      <c r="C201" s="323">
        <v>52</v>
      </c>
      <c r="D201" s="30">
        <v>60.5</v>
      </c>
      <c r="E201" s="30">
        <v>72.5</v>
      </c>
      <c r="F201" s="30">
        <v>79.900000000000006</v>
      </c>
      <c r="G201" s="236">
        <v>109</v>
      </c>
      <c r="H201" s="236">
        <v>130</v>
      </c>
      <c r="I201" s="236">
        <v>146</v>
      </c>
      <c r="J201" s="236">
        <v>168</v>
      </c>
      <c r="K201" s="236">
        <v>198</v>
      </c>
      <c r="L201" s="236">
        <v>211</v>
      </c>
      <c r="M201" s="236">
        <v>218</v>
      </c>
      <c r="N201" s="236">
        <v>233</v>
      </c>
      <c r="O201" s="236">
        <v>280</v>
      </c>
      <c r="P201" s="236">
        <v>297</v>
      </c>
      <c r="Q201" s="236">
        <v>356</v>
      </c>
      <c r="R201" s="325">
        <v>369</v>
      </c>
    </row>
    <row r="202" spans="1:20" ht="12" customHeight="1">
      <c r="A202" s="216">
        <v>180</v>
      </c>
      <c r="B202" s="217" t="s">
        <v>2</v>
      </c>
      <c r="C202" s="323">
        <v>50.3</v>
      </c>
      <c r="D202" s="30">
        <v>57.9</v>
      </c>
      <c r="E202" s="30">
        <v>69.900000000000006</v>
      </c>
      <c r="F202" s="30">
        <v>77.599999999999994</v>
      </c>
      <c r="G202" s="236">
        <v>105</v>
      </c>
      <c r="H202" s="236">
        <v>126</v>
      </c>
      <c r="I202" s="236">
        <v>141</v>
      </c>
      <c r="J202" s="236">
        <v>164</v>
      </c>
      <c r="K202" s="236">
        <v>195</v>
      </c>
      <c r="L202" s="236">
        <v>205</v>
      </c>
      <c r="M202" s="236">
        <v>214</v>
      </c>
      <c r="N202" s="236">
        <v>226</v>
      </c>
      <c r="O202" s="236">
        <v>271</v>
      </c>
      <c r="P202" s="236">
        <v>289</v>
      </c>
      <c r="Q202" s="236">
        <v>355</v>
      </c>
      <c r="R202" s="325">
        <v>365</v>
      </c>
    </row>
    <row r="203" spans="1:20" ht="12.3" customHeight="1">
      <c r="A203" s="216">
        <v>200</v>
      </c>
      <c r="B203" s="217" t="s">
        <v>2</v>
      </c>
      <c r="C203" s="323">
        <v>49.4</v>
      </c>
      <c r="D203" s="30">
        <v>55.9</v>
      </c>
      <c r="E203" s="30">
        <v>69.2</v>
      </c>
      <c r="F203" s="30">
        <v>73.8</v>
      </c>
      <c r="G203" s="236">
        <v>103</v>
      </c>
      <c r="H203" s="236">
        <v>121</v>
      </c>
      <c r="I203" s="236">
        <v>142</v>
      </c>
      <c r="J203" s="236">
        <v>157</v>
      </c>
      <c r="K203" s="236">
        <v>198</v>
      </c>
      <c r="L203" s="236">
        <v>202</v>
      </c>
      <c r="M203" s="236">
        <v>213</v>
      </c>
      <c r="N203" s="236">
        <v>222</v>
      </c>
      <c r="O203" s="236">
        <v>272</v>
      </c>
      <c r="P203" s="236">
        <v>280</v>
      </c>
      <c r="Q203" s="236">
        <v>377</v>
      </c>
      <c r="R203" s="325">
        <v>363</v>
      </c>
    </row>
    <row r="204" spans="1:20" ht="12" customHeight="1">
      <c r="A204" s="216">
        <v>224</v>
      </c>
      <c r="B204" s="217" t="s">
        <v>2</v>
      </c>
      <c r="C204" s="323">
        <v>46.3</v>
      </c>
      <c r="D204" s="30">
        <v>54.1</v>
      </c>
      <c r="E204" s="30">
        <v>66.099999999999994</v>
      </c>
      <c r="F204" s="30">
        <v>71</v>
      </c>
      <c r="G204" s="30">
        <v>98.7</v>
      </c>
      <c r="H204" s="236">
        <v>117</v>
      </c>
      <c r="I204" s="236">
        <v>136</v>
      </c>
      <c r="J204" s="236">
        <v>151</v>
      </c>
      <c r="K204" s="236">
        <v>186</v>
      </c>
      <c r="L204" s="236">
        <v>204</v>
      </c>
      <c r="M204" s="236">
        <v>201</v>
      </c>
      <c r="N204" s="236">
        <v>220</v>
      </c>
      <c r="O204" s="236">
        <v>264</v>
      </c>
      <c r="P204" s="236">
        <v>280</v>
      </c>
      <c r="Q204" s="236">
        <v>365</v>
      </c>
      <c r="R204" s="325">
        <v>385</v>
      </c>
    </row>
    <row r="205" spans="1:20" ht="12.3" customHeight="1">
      <c r="A205" s="216">
        <v>250</v>
      </c>
      <c r="B205" s="217" t="s">
        <v>2</v>
      </c>
      <c r="C205" s="323">
        <v>44</v>
      </c>
      <c r="D205" s="30">
        <v>53.1</v>
      </c>
      <c r="E205" s="30">
        <v>62.9</v>
      </c>
      <c r="F205" s="30">
        <v>70.2</v>
      </c>
      <c r="G205" s="30">
        <v>93.2</v>
      </c>
      <c r="H205" s="236">
        <v>114</v>
      </c>
      <c r="I205" s="236">
        <v>130</v>
      </c>
      <c r="J205" s="236">
        <v>152</v>
      </c>
      <c r="K205" s="236">
        <v>178</v>
      </c>
      <c r="L205" s="236">
        <v>192</v>
      </c>
      <c r="M205" s="236">
        <v>192</v>
      </c>
      <c r="N205" s="236">
        <v>208</v>
      </c>
      <c r="O205" s="236">
        <v>253</v>
      </c>
      <c r="P205" s="236">
        <v>272</v>
      </c>
      <c r="Q205" s="236">
        <v>350</v>
      </c>
      <c r="R205" s="325">
        <v>372</v>
      </c>
    </row>
    <row r="206" spans="1:20" ht="12" customHeight="1">
      <c r="A206" s="216">
        <v>280</v>
      </c>
      <c r="B206" s="217" t="s">
        <v>2</v>
      </c>
      <c r="C206" s="323">
        <v>42.6</v>
      </c>
      <c r="D206" s="30">
        <v>49.7</v>
      </c>
      <c r="E206" s="30">
        <v>60.8</v>
      </c>
      <c r="F206" s="30">
        <v>67.2</v>
      </c>
      <c r="G206" s="30">
        <v>89.3</v>
      </c>
      <c r="H206" s="236">
        <v>110</v>
      </c>
      <c r="I206" s="236">
        <v>126</v>
      </c>
      <c r="J206" s="236">
        <v>146</v>
      </c>
      <c r="K206" s="236">
        <v>173</v>
      </c>
      <c r="L206" s="236">
        <v>183</v>
      </c>
      <c r="M206" s="236">
        <v>189</v>
      </c>
      <c r="N206" s="236">
        <v>198</v>
      </c>
      <c r="O206" s="236">
        <v>245</v>
      </c>
      <c r="P206" s="236">
        <v>260</v>
      </c>
      <c r="Q206" s="236">
        <v>343</v>
      </c>
      <c r="R206" s="325">
        <v>357</v>
      </c>
    </row>
    <row r="207" spans="1:20" ht="12.3" customHeight="1">
      <c r="A207" s="216">
        <v>315</v>
      </c>
      <c r="B207" s="217" t="s">
        <v>2</v>
      </c>
      <c r="C207" s="323">
        <v>41.6</v>
      </c>
      <c r="D207" s="30">
        <v>47.2</v>
      </c>
      <c r="E207" s="30">
        <v>57.6</v>
      </c>
      <c r="F207" s="30">
        <v>63.9</v>
      </c>
      <c r="G207" s="30">
        <v>87.1</v>
      </c>
      <c r="H207" s="236">
        <v>103</v>
      </c>
      <c r="I207" s="236">
        <v>121</v>
      </c>
      <c r="J207" s="236">
        <v>139</v>
      </c>
      <c r="K207" s="236">
        <v>165</v>
      </c>
      <c r="L207" s="236">
        <v>178</v>
      </c>
      <c r="M207" s="236">
        <v>180</v>
      </c>
      <c r="N207" s="236">
        <v>195</v>
      </c>
      <c r="O207" s="236">
        <v>240</v>
      </c>
      <c r="P207" s="236">
        <v>252</v>
      </c>
      <c r="Q207" s="236">
        <v>332</v>
      </c>
      <c r="R207" s="325">
        <v>348</v>
      </c>
    </row>
    <row r="208" spans="1:20" ht="12" customHeight="1">
      <c r="A208" s="216">
        <v>355</v>
      </c>
      <c r="B208" s="217" t="s">
        <v>2</v>
      </c>
      <c r="C208" s="323">
        <v>39.299999999999997</v>
      </c>
      <c r="D208" s="30">
        <v>45.7</v>
      </c>
      <c r="E208" s="30">
        <v>56.3</v>
      </c>
      <c r="F208" s="30">
        <v>61.7</v>
      </c>
      <c r="G208" s="30">
        <v>82.5</v>
      </c>
      <c r="H208" s="30">
        <v>98.8</v>
      </c>
      <c r="I208" s="236">
        <v>115</v>
      </c>
      <c r="J208" s="236">
        <v>135</v>
      </c>
      <c r="K208" s="236">
        <v>161</v>
      </c>
      <c r="L208" s="236">
        <v>170</v>
      </c>
      <c r="M208" s="236">
        <v>176</v>
      </c>
      <c r="N208" s="236">
        <v>186</v>
      </c>
      <c r="O208" s="236">
        <v>228</v>
      </c>
      <c r="P208" s="236">
        <v>246</v>
      </c>
      <c r="Q208" s="236">
        <v>317</v>
      </c>
      <c r="R208" s="325">
        <v>337</v>
      </c>
    </row>
    <row r="209" spans="1:18" ht="12.3" customHeight="1">
      <c r="A209" s="216">
        <v>400</v>
      </c>
      <c r="B209" s="217" t="s">
        <v>2</v>
      </c>
      <c r="C209" s="179" t="s">
        <v>1</v>
      </c>
      <c r="D209" s="30">
        <v>44.6</v>
      </c>
      <c r="E209" s="82" t="s">
        <v>1</v>
      </c>
      <c r="F209" s="30">
        <v>58.5</v>
      </c>
      <c r="G209" s="82" t="s">
        <v>1</v>
      </c>
      <c r="H209" s="30">
        <v>96.4</v>
      </c>
      <c r="I209" s="82" t="s">
        <v>1</v>
      </c>
      <c r="J209" s="236">
        <v>129</v>
      </c>
      <c r="K209" s="82" t="s">
        <v>1</v>
      </c>
      <c r="L209" s="236">
        <v>166</v>
      </c>
      <c r="M209" s="82" t="s">
        <v>1</v>
      </c>
      <c r="N209" s="236">
        <v>182</v>
      </c>
      <c r="O209" s="82" t="s">
        <v>1</v>
      </c>
      <c r="P209" s="236">
        <v>234</v>
      </c>
      <c r="Q209" s="82" t="s">
        <v>1</v>
      </c>
      <c r="R209" s="325">
        <v>322</v>
      </c>
    </row>
    <row r="210" spans="1:18" ht="12.3" customHeight="1">
      <c r="A210" s="216">
        <v>450</v>
      </c>
      <c r="B210" s="217" t="s">
        <v>2</v>
      </c>
      <c r="C210" s="179" t="s">
        <v>1</v>
      </c>
      <c r="D210" s="30">
        <v>42.1</v>
      </c>
      <c r="E210" s="82" t="s">
        <v>1</v>
      </c>
      <c r="F210" s="30">
        <v>57.1</v>
      </c>
      <c r="G210" s="82" t="s">
        <v>1</v>
      </c>
      <c r="H210" s="30">
        <v>91.3</v>
      </c>
      <c r="I210" s="82" t="s">
        <v>1</v>
      </c>
      <c r="J210" s="236">
        <v>122</v>
      </c>
      <c r="K210" s="82" t="s">
        <v>1</v>
      </c>
      <c r="L210" s="236" t="s">
        <v>1</v>
      </c>
      <c r="M210" s="82" t="s">
        <v>1</v>
      </c>
      <c r="N210" s="236" t="s">
        <v>1</v>
      </c>
      <c r="O210" s="82" t="s">
        <v>1</v>
      </c>
      <c r="P210" s="236" t="s">
        <v>1</v>
      </c>
      <c r="Q210" s="82" t="s">
        <v>1</v>
      </c>
      <c r="R210" s="325" t="s">
        <v>1</v>
      </c>
    </row>
  </sheetData>
  <mergeCells count="81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35:B136"/>
    <mergeCell ref="C135:R135"/>
    <mergeCell ref="A134:T134"/>
    <mergeCell ref="A77:N77"/>
    <mergeCell ref="A78:A79"/>
    <mergeCell ref="A194:T194"/>
    <mergeCell ref="A195:B196"/>
    <mergeCell ref="C195:R195"/>
    <mergeCell ref="A154:T154"/>
    <mergeCell ref="A155:B156"/>
    <mergeCell ref="C155:R155"/>
    <mergeCell ref="A174:T174"/>
    <mergeCell ref="A175:B176"/>
    <mergeCell ref="C175:R17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416"/>
  <sheetViews>
    <sheetView workbookViewId="0">
      <selection activeCell="A368" sqref="A367:XFD368"/>
    </sheetView>
  </sheetViews>
  <sheetFormatPr defaultRowHeight="13.2"/>
  <sheetData>
    <row r="1" spans="1:21" ht="33.75" customHeight="1">
      <c r="A1" s="475" t="s">
        <v>250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</row>
    <row r="2" spans="1:21" ht="12.75" customHeight="1">
      <c r="A2" s="450" t="s">
        <v>11</v>
      </c>
      <c r="B2" s="450"/>
      <c r="C2" s="450" t="s">
        <v>12</v>
      </c>
      <c r="D2" s="470" t="s">
        <v>13</v>
      </c>
      <c r="E2" s="454" t="s">
        <v>14</v>
      </c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</row>
    <row r="3" spans="1:21" ht="12" customHeight="1">
      <c r="A3" s="452"/>
      <c r="B3" s="452"/>
      <c r="C3" s="452"/>
      <c r="D3" s="471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84">
        <v>5</v>
      </c>
      <c r="B4" s="484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81"/>
      <c r="B5" s="481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81"/>
      <c r="B6" s="481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82"/>
      <c r="B7" s="482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83">
        <v>5.6</v>
      </c>
      <c r="B8" s="483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81"/>
      <c r="B9" s="481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81"/>
      <c r="B10" s="481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82"/>
      <c r="B11" s="482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83">
        <v>6.3</v>
      </c>
      <c r="B12" s="483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81"/>
      <c r="B13" s="481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81"/>
      <c r="B14" s="481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82"/>
      <c r="B15" s="482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83">
        <v>7.1</v>
      </c>
      <c r="B16" s="483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81"/>
      <c r="B17" s="481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81"/>
      <c r="B18" s="481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82"/>
      <c r="B19" s="482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84">
        <v>8</v>
      </c>
      <c r="B20" s="484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81"/>
      <c r="B21" s="481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81"/>
      <c r="B22" s="481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82"/>
      <c r="B23" s="482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84">
        <v>9</v>
      </c>
      <c r="B24" s="484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81"/>
      <c r="B25" s="481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81"/>
      <c r="B26" s="481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81"/>
      <c r="B27" s="481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80">
        <v>10</v>
      </c>
      <c r="B28" s="480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81"/>
      <c r="B29" s="481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81"/>
      <c r="B30" s="481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82"/>
      <c r="B31" s="482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83">
        <v>11.2</v>
      </c>
      <c r="B32" s="483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81"/>
      <c r="B33" s="481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81"/>
      <c r="B34" s="481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82"/>
      <c r="B35" s="482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83">
        <v>12.5</v>
      </c>
      <c r="B36" s="483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81"/>
      <c r="B37" s="481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81"/>
      <c r="B38" s="481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82"/>
      <c r="B39" s="482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80">
        <v>14</v>
      </c>
      <c r="B40" s="480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81"/>
      <c r="B41" s="481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81"/>
      <c r="B42" s="481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81"/>
      <c r="B43" s="481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7"/>
      <c r="B45" s="347"/>
      <c r="C45" s="347"/>
      <c r="D45" s="347"/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7"/>
    </row>
    <row r="46" spans="1:19">
      <c r="A46" s="347"/>
      <c r="B46" s="347"/>
      <c r="C46" s="347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</row>
    <row r="47" spans="1:19">
      <c r="A47" s="347"/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</row>
    <row r="48" spans="1:19">
      <c r="A48" s="347"/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</row>
    <row r="49" spans="1:15">
      <c r="A49" s="347"/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</row>
    <row r="50" spans="1:15">
      <c r="A50" s="347"/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</row>
    <row r="51" spans="1:15">
      <c r="A51" s="347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</row>
    <row r="52" spans="1:15">
      <c r="A52" s="347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</row>
    <row r="53" spans="1:15">
      <c r="A53" s="347"/>
      <c r="B53" s="347"/>
      <c r="C53" s="347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7"/>
    </row>
    <row r="54" spans="1:15">
      <c r="A54" s="347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</row>
    <row r="55" spans="1:15">
      <c r="A55" s="347"/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</row>
    <row r="56" spans="1:15">
      <c r="A56" s="347"/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</row>
    <row r="57" spans="1:15">
      <c r="A57" s="347"/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</row>
    <row r="58" spans="1:15">
      <c r="A58" s="347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</row>
    <row r="59" spans="1:15">
      <c r="A59" s="347"/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</row>
    <row r="60" spans="1:15">
      <c r="A60" s="347"/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</row>
    <row r="61" spans="1:15">
      <c r="A61" s="347"/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</row>
    <row r="62" spans="1:15">
      <c r="A62" s="347"/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</row>
    <row r="63" spans="1:15">
      <c r="A63" s="347"/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</row>
    <row r="64" spans="1:15">
      <c r="A64" s="347"/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</row>
    <row r="65" spans="1:23">
      <c r="A65" s="347"/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</row>
    <row r="66" spans="1:23">
      <c r="A66" s="347"/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</row>
    <row r="67" spans="1:23">
      <c r="A67" s="347"/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</row>
    <row r="68" spans="1:23">
      <c r="A68" s="347"/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</row>
    <row r="69" spans="1:23">
      <c r="A69" s="347"/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</row>
    <row r="70" spans="1:23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</row>
    <row r="71" spans="1:23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</row>
    <row r="72" spans="1:23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</row>
    <row r="73" spans="1:23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</row>
    <row r="74" spans="1:23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</row>
    <row r="75" spans="1:23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</row>
    <row r="77" spans="1:23" ht="36.75" customHeight="1">
      <c r="A77" s="449" t="s">
        <v>334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</row>
    <row r="78" spans="1:23" ht="12.3" customHeight="1">
      <c r="A78" s="478" t="s">
        <v>69</v>
      </c>
      <c r="B78" s="454" t="s">
        <v>14</v>
      </c>
      <c r="C78" s="455"/>
      <c r="D78" s="455"/>
      <c r="E78" s="455"/>
      <c r="F78" s="455"/>
      <c r="G78" s="455"/>
      <c r="H78" s="455"/>
      <c r="I78" s="455"/>
      <c r="J78" s="455"/>
      <c r="K78" s="455"/>
      <c r="L78" s="455"/>
      <c r="M78" s="455"/>
      <c r="N78" s="455"/>
      <c r="O78" s="455"/>
      <c r="P78" s="455"/>
      <c r="Q78" s="455"/>
      <c r="R78" s="455"/>
      <c r="S78" s="455"/>
      <c r="T78" s="455"/>
      <c r="U78" s="455"/>
    </row>
    <row r="79" spans="1:23" ht="12" customHeight="1">
      <c r="A79" s="479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58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59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59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59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59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59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59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60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62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63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63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63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63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63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63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63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63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63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63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63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63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63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63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63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64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56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57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57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57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57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57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57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57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57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57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57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57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57"/>
    </row>
    <row r="118" spans="1:21" ht="12" customHeight="1">
      <c r="A118" s="381">
        <v>400</v>
      </c>
      <c r="B118" s="382" t="s">
        <v>1</v>
      </c>
      <c r="C118" s="383" t="s">
        <v>1</v>
      </c>
      <c r="D118" s="384">
        <v>14.5</v>
      </c>
      <c r="E118" s="383" t="s">
        <v>1</v>
      </c>
      <c r="F118" s="384">
        <v>25.5</v>
      </c>
      <c r="G118" s="383" t="s">
        <v>1</v>
      </c>
      <c r="H118" s="391">
        <v>43</v>
      </c>
      <c r="I118" s="383" t="s">
        <v>1</v>
      </c>
      <c r="J118" s="391">
        <v>75</v>
      </c>
      <c r="K118" s="363" t="s">
        <v>1</v>
      </c>
      <c r="L118" s="385">
        <v>113</v>
      </c>
      <c r="M118" s="386" t="s">
        <v>1</v>
      </c>
      <c r="N118" s="386" t="s">
        <v>1</v>
      </c>
      <c r="O118" s="386" t="s">
        <v>1</v>
      </c>
      <c r="P118" s="386" t="s">
        <v>1</v>
      </c>
      <c r="Q118" s="386" t="s">
        <v>1</v>
      </c>
      <c r="R118" s="386" t="s">
        <v>1</v>
      </c>
      <c r="S118" s="386" t="s">
        <v>1</v>
      </c>
      <c r="T118" s="386" t="s">
        <v>1</v>
      </c>
      <c r="U118" s="472"/>
    </row>
    <row r="134" spans="1:18" ht="40.799999999999997" customHeight="1">
      <c r="A134" s="449" t="s">
        <v>338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</row>
    <row r="135" spans="1:18" ht="12.3" customHeight="1">
      <c r="A135" s="450" t="s">
        <v>69</v>
      </c>
      <c r="B135" s="451"/>
      <c r="C135" s="454" t="s">
        <v>14</v>
      </c>
      <c r="D135" s="455"/>
      <c r="E135" s="455"/>
      <c r="F135" s="455"/>
      <c r="G135" s="455"/>
      <c r="H135" s="455"/>
      <c r="I135" s="455"/>
      <c r="J135" s="455"/>
      <c r="K135" s="455"/>
      <c r="L135" s="455"/>
      <c r="M135" s="455"/>
      <c r="N135" s="455"/>
      <c r="O135" s="455"/>
      <c r="P135" s="455"/>
      <c r="Q135" s="455"/>
    </row>
    <row r="136" spans="1:18" ht="9" customHeight="1">
      <c r="A136" s="452"/>
      <c r="B136" s="453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4">
        <v>18</v>
      </c>
    </row>
    <row r="137" spans="1:18" ht="10.5" customHeight="1">
      <c r="A137" s="300">
        <v>5</v>
      </c>
      <c r="B137" s="184" t="s">
        <v>2</v>
      </c>
      <c r="C137" s="318">
        <v>61</v>
      </c>
      <c r="D137" s="262">
        <v>75.5</v>
      </c>
      <c r="E137" s="85" t="s">
        <v>1</v>
      </c>
      <c r="F137" s="262">
        <v>93.5</v>
      </c>
      <c r="G137" s="85" t="s">
        <v>1</v>
      </c>
      <c r="H137" s="237">
        <v>110</v>
      </c>
      <c r="I137" s="85" t="s">
        <v>1</v>
      </c>
      <c r="J137" s="237">
        <v>116</v>
      </c>
      <c r="K137" s="85" t="s">
        <v>1</v>
      </c>
      <c r="L137" s="85" t="s">
        <v>21</v>
      </c>
      <c r="M137" s="85" t="s">
        <v>1</v>
      </c>
      <c r="N137" s="85" t="s">
        <v>21</v>
      </c>
      <c r="O137" s="85" t="s">
        <v>1</v>
      </c>
      <c r="P137" s="85" t="s">
        <v>1</v>
      </c>
      <c r="Q137" s="221" t="s">
        <v>1</v>
      </c>
    </row>
    <row r="138" spans="1:18" ht="9" customHeight="1">
      <c r="A138" s="314"/>
      <c r="B138" s="2" t="s">
        <v>3</v>
      </c>
      <c r="C138" s="304">
        <v>142</v>
      </c>
      <c r="D138" s="258">
        <v>196</v>
      </c>
      <c r="E138" s="146" t="s">
        <v>1</v>
      </c>
      <c r="F138" s="258">
        <v>314</v>
      </c>
      <c r="G138" s="146" t="s">
        <v>1</v>
      </c>
      <c r="H138" s="258">
        <v>393</v>
      </c>
      <c r="I138" s="146" t="s">
        <v>1</v>
      </c>
      <c r="J138" s="258">
        <v>598</v>
      </c>
      <c r="K138" s="146" t="s">
        <v>1</v>
      </c>
      <c r="L138" s="258">
        <v>856</v>
      </c>
      <c r="M138" s="146" t="s">
        <v>1</v>
      </c>
      <c r="N138" s="258">
        <v>1033</v>
      </c>
      <c r="O138" s="146" t="s">
        <v>1</v>
      </c>
      <c r="P138" s="146" t="s">
        <v>1</v>
      </c>
      <c r="Q138" s="223" t="s">
        <v>1</v>
      </c>
    </row>
    <row r="139" spans="1:18" ht="9.3000000000000007" customHeight="1">
      <c r="A139" s="314"/>
      <c r="B139" s="2" t="s">
        <v>5</v>
      </c>
      <c r="C139" s="304">
        <v>180</v>
      </c>
      <c r="D139" s="258">
        <v>274</v>
      </c>
      <c r="E139" s="146" t="s">
        <v>1</v>
      </c>
      <c r="F139" s="258">
        <v>426</v>
      </c>
      <c r="G139" s="146" t="s">
        <v>1</v>
      </c>
      <c r="H139" s="258">
        <v>550</v>
      </c>
      <c r="I139" s="146" t="s">
        <v>1</v>
      </c>
      <c r="J139" s="258">
        <v>711</v>
      </c>
      <c r="K139" s="146" t="s">
        <v>1</v>
      </c>
      <c r="L139" s="258">
        <v>719</v>
      </c>
      <c r="M139" s="146" t="s">
        <v>1</v>
      </c>
      <c r="N139" s="258">
        <v>705</v>
      </c>
      <c r="O139" s="146" t="s">
        <v>1</v>
      </c>
      <c r="P139" s="146" t="s">
        <v>1</v>
      </c>
      <c r="Q139" s="223" t="s">
        <v>1</v>
      </c>
    </row>
    <row r="140" spans="1:18" ht="10.8" customHeight="1">
      <c r="A140" s="315"/>
      <c r="B140" s="185" t="s">
        <v>7</v>
      </c>
      <c r="C140" s="307">
        <v>251</v>
      </c>
      <c r="D140" s="259">
        <v>379</v>
      </c>
      <c r="E140" s="149" t="s">
        <v>1</v>
      </c>
      <c r="F140" s="259">
        <v>615</v>
      </c>
      <c r="G140" s="149" t="s">
        <v>1</v>
      </c>
      <c r="H140" s="259">
        <v>791</v>
      </c>
      <c r="I140" s="149" t="s">
        <v>1</v>
      </c>
      <c r="J140" s="259">
        <v>1121</v>
      </c>
      <c r="K140" s="149" t="s">
        <v>1</v>
      </c>
      <c r="L140" s="259">
        <v>1403</v>
      </c>
      <c r="M140" s="149" t="s">
        <v>1</v>
      </c>
      <c r="N140" s="259">
        <v>1640</v>
      </c>
      <c r="O140" s="149" t="s">
        <v>1</v>
      </c>
      <c r="P140" s="149" t="s">
        <v>1</v>
      </c>
      <c r="Q140" s="225" t="s">
        <v>1</v>
      </c>
    </row>
    <row r="141" spans="1:18" ht="10.5" customHeight="1">
      <c r="A141" s="300" t="s">
        <v>558</v>
      </c>
      <c r="B141" s="184" t="s">
        <v>2</v>
      </c>
      <c r="C141" s="318">
        <v>59.1</v>
      </c>
      <c r="D141" s="262">
        <v>74.099999999999994</v>
      </c>
      <c r="E141" s="85" t="s">
        <v>1</v>
      </c>
      <c r="F141" s="262">
        <v>94.6</v>
      </c>
      <c r="G141" s="85" t="s">
        <v>1</v>
      </c>
      <c r="H141" s="237">
        <v>114</v>
      </c>
      <c r="I141" s="85" t="s">
        <v>1</v>
      </c>
      <c r="J141" s="237">
        <v>140</v>
      </c>
      <c r="K141" s="85" t="s">
        <v>1</v>
      </c>
      <c r="L141" s="85" t="s">
        <v>21</v>
      </c>
      <c r="M141" s="85" t="s">
        <v>1</v>
      </c>
      <c r="N141" s="85" t="s">
        <v>21</v>
      </c>
      <c r="O141" s="262">
        <v>82.2</v>
      </c>
      <c r="P141" s="85" t="s">
        <v>21</v>
      </c>
      <c r="Q141" s="221" t="s">
        <v>1</v>
      </c>
    </row>
    <row r="142" spans="1:18" ht="9" customHeight="1">
      <c r="A142" s="314"/>
      <c r="B142" s="2" t="s">
        <v>3</v>
      </c>
      <c r="C142" s="304">
        <v>136</v>
      </c>
      <c r="D142" s="258">
        <v>189</v>
      </c>
      <c r="E142" s="146" t="s">
        <v>1</v>
      </c>
      <c r="F142" s="258">
        <v>298</v>
      </c>
      <c r="G142" s="146" t="s">
        <v>1</v>
      </c>
      <c r="H142" s="258">
        <v>376</v>
      </c>
      <c r="I142" s="146" t="s">
        <v>1</v>
      </c>
      <c r="J142" s="258">
        <v>591</v>
      </c>
      <c r="K142" s="146" t="s">
        <v>1</v>
      </c>
      <c r="L142" s="258">
        <v>860</v>
      </c>
      <c r="M142" s="146" t="s">
        <v>1</v>
      </c>
      <c r="N142" s="258">
        <v>1068</v>
      </c>
      <c r="O142" s="258">
        <v>1060</v>
      </c>
      <c r="P142" s="258">
        <v>1050</v>
      </c>
      <c r="Q142" s="223" t="s">
        <v>1</v>
      </c>
    </row>
    <row r="143" spans="1:18" ht="9.3000000000000007" customHeight="1">
      <c r="A143" s="314"/>
      <c r="B143" s="2" t="s">
        <v>5</v>
      </c>
      <c r="C143" s="304">
        <v>172</v>
      </c>
      <c r="D143" s="258">
        <v>263</v>
      </c>
      <c r="E143" s="146" t="s">
        <v>1</v>
      </c>
      <c r="F143" s="258">
        <v>392</v>
      </c>
      <c r="G143" s="146" t="s">
        <v>1</v>
      </c>
      <c r="H143" s="258">
        <v>508</v>
      </c>
      <c r="I143" s="146" t="s">
        <v>1</v>
      </c>
      <c r="J143" s="258">
        <v>703</v>
      </c>
      <c r="K143" s="146" t="s">
        <v>1</v>
      </c>
      <c r="L143" s="258">
        <v>736</v>
      </c>
      <c r="M143" s="146" t="s">
        <v>1</v>
      </c>
      <c r="N143" s="258">
        <v>757</v>
      </c>
      <c r="O143" s="258">
        <v>722</v>
      </c>
      <c r="P143" s="258">
        <v>554</v>
      </c>
      <c r="Q143" s="223" t="s">
        <v>1</v>
      </c>
    </row>
    <row r="144" spans="1:18" ht="10.8" customHeight="1">
      <c r="A144" s="315"/>
      <c r="B144" s="185" t="s">
        <v>7</v>
      </c>
      <c r="C144" s="307">
        <v>240</v>
      </c>
      <c r="D144" s="259">
        <v>363</v>
      </c>
      <c r="E144" s="149" t="s">
        <v>1</v>
      </c>
      <c r="F144" s="259">
        <v>568</v>
      </c>
      <c r="G144" s="149" t="s">
        <v>1</v>
      </c>
      <c r="H144" s="259">
        <v>732</v>
      </c>
      <c r="I144" s="149" t="s">
        <v>1</v>
      </c>
      <c r="J144" s="259">
        <v>1090</v>
      </c>
      <c r="K144" s="149" t="s">
        <v>1</v>
      </c>
      <c r="L144" s="259">
        <v>1381</v>
      </c>
      <c r="M144" s="149" t="s">
        <v>1</v>
      </c>
      <c r="N144" s="259">
        <v>1648</v>
      </c>
      <c r="O144" s="259">
        <v>1668</v>
      </c>
      <c r="P144" s="259">
        <v>1642</v>
      </c>
      <c r="Q144" s="225" t="s">
        <v>1</v>
      </c>
    </row>
    <row r="145" spans="1:17" ht="10.5" customHeight="1">
      <c r="A145" s="300" t="s">
        <v>551</v>
      </c>
      <c r="B145" s="184" t="s">
        <v>2</v>
      </c>
      <c r="C145" s="318">
        <v>58</v>
      </c>
      <c r="D145" s="262">
        <v>72.599999999999994</v>
      </c>
      <c r="E145" s="262">
        <v>87.1</v>
      </c>
      <c r="F145" s="262">
        <v>94.8</v>
      </c>
      <c r="G145" s="237">
        <v>108</v>
      </c>
      <c r="H145" s="237">
        <v>119</v>
      </c>
      <c r="I145" s="237">
        <v>118</v>
      </c>
      <c r="J145" s="237">
        <v>151</v>
      </c>
      <c r="K145" s="237">
        <v>155</v>
      </c>
      <c r="L145" s="237">
        <v>171</v>
      </c>
      <c r="M145" s="85" t="s">
        <v>21</v>
      </c>
      <c r="N145" s="85" t="s">
        <v>21</v>
      </c>
      <c r="O145" s="85" t="s">
        <v>21</v>
      </c>
      <c r="P145" s="85" t="s">
        <v>21</v>
      </c>
      <c r="Q145" s="221" t="s">
        <v>1</v>
      </c>
    </row>
    <row r="146" spans="1:17" ht="9" customHeight="1">
      <c r="A146" s="314"/>
      <c r="B146" s="2" t="s">
        <v>3</v>
      </c>
      <c r="C146" s="304">
        <v>131</v>
      </c>
      <c r="D146" s="258">
        <v>180</v>
      </c>
      <c r="E146" s="258">
        <v>213</v>
      </c>
      <c r="F146" s="258">
        <v>280</v>
      </c>
      <c r="G146" s="258">
        <v>333</v>
      </c>
      <c r="H146" s="258">
        <v>358</v>
      </c>
      <c r="I146" s="258">
        <v>393</v>
      </c>
      <c r="J146" s="258">
        <v>550</v>
      </c>
      <c r="K146" s="258">
        <v>666</v>
      </c>
      <c r="L146" s="258">
        <v>809</v>
      </c>
      <c r="M146" s="258">
        <v>929</v>
      </c>
      <c r="N146" s="258">
        <v>1063</v>
      </c>
      <c r="O146" s="258">
        <v>1097</v>
      </c>
      <c r="P146" s="258">
        <v>1102</v>
      </c>
      <c r="Q146" s="223" t="s">
        <v>1</v>
      </c>
    </row>
    <row r="147" spans="1:17" ht="9.3000000000000007" customHeight="1">
      <c r="A147" s="314"/>
      <c r="B147" s="2" t="s">
        <v>5</v>
      </c>
      <c r="C147" s="304">
        <v>164</v>
      </c>
      <c r="D147" s="258">
        <v>243</v>
      </c>
      <c r="E147" s="258">
        <v>316</v>
      </c>
      <c r="F147" s="258">
        <v>356</v>
      </c>
      <c r="G147" s="258">
        <v>355</v>
      </c>
      <c r="H147" s="258">
        <v>466</v>
      </c>
      <c r="I147" s="258">
        <v>580</v>
      </c>
      <c r="J147" s="258">
        <v>660</v>
      </c>
      <c r="K147" s="258">
        <v>766</v>
      </c>
      <c r="L147" s="258">
        <v>714</v>
      </c>
      <c r="M147" s="258">
        <v>770</v>
      </c>
      <c r="N147" s="258">
        <v>789</v>
      </c>
      <c r="O147" s="258">
        <v>776</v>
      </c>
      <c r="P147" s="258">
        <v>653</v>
      </c>
      <c r="Q147" s="223" t="s">
        <v>1</v>
      </c>
    </row>
    <row r="148" spans="1:17" ht="10.8" customHeight="1">
      <c r="A148" s="315"/>
      <c r="B148" s="185" t="s">
        <v>7</v>
      </c>
      <c r="C148" s="307">
        <v>229</v>
      </c>
      <c r="D148" s="259">
        <v>336</v>
      </c>
      <c r="E148" s="259">
        <v>425</v>
      </c>
      <c r="F148" s="259">
        <v>518</v>
      </c>
      <c r="G148" s="259">
        <v>555</v>
      </c>
      <c r="H148" s="259">
        <v>674</v>
      </c>
      <c r="I148" s="259">
        <v>814</v>
      </c>
      <c r="J148" s="259">
        <v>1005</v>
      </c>
      <c r="K148" s="259">
        <v>1206</v>
      </c>
      <c r="L148" s="259">
        <v>1279</v>
      </c>
      <c r="M148" s="259">
        <v>1486</v>
      </c>
      <c r="N148" s="259">
        <v>1600</v>
      </c>
      <c r="O148" s="259">
        <v>1687</v>
      </c>
      <c r="P148" s="259">
        <v>1645</v>
      </c>
      <c r="Q148" s="225" t="s">
        <v>1</v>
      </c>
    </row>
    <row r="149" spans="1:17" ht="10.5" customHeight="1">
      <c r="A149" s="300" t="s">
        <v>552</v>
      </c>
      <c r="B149" s="184" t="s">
        <v>2</v>
      </c>
      <c r="C149" s="318">
        <v>54.9</v>
      </c>
      <c r="D149" s="262">
        <v>69.5</v>
      </c>
      <c r="E149" s="262">
        <v>85</v>
      </c>
      <c r="F149" s="262">
        <v>91.8</v>
      </c>
      <c r="G149" s="237">
        <v>108</v>
      </c>
      <c r="H149" s="237">
        <v>119</v>
      </c>
      <c r="I149" s="237">
        <v>122</v>
      </c>
      <c r="J149" s="237">
        <v>160</v>
      </c>
      <c r="K149" s="237">
        <v>177</v>
      </c>
      <c r="L149" s="237">
        <v>187</v>
      </c>
      <c r="M149" s="237">
        <v>182</v>
      </c>
      <c r="N149" s="237">
        <v>193</v>
      </c>
      <c r="O149" s="85" t="s">
        <v>21</v>
      </c>
      <c r="P149" s="85" t="s">
        <v>21</v>
      </c>
      <c r="Q149" s="221" t="s">
        <v>21</v>
      </c>
    </row>
    <row r="150" spans="1:17" ht="9" customHeight="1">
      <c r="A150" s="314"/>
      <c r="B150" s="2" t="s">
        <v>3</v>
      </c>
      <c r="C150" s="304">
        <v>122</v>
      </c>
      <c r="D150" s="258">
        <v>169</v>
      </c>
      <c r="E150" s="258">
        <v>205</v>
      </c>
      <c r="F150" s="258">
        <v>264</v>
      </c>
      <c r="G150" s="258">
        <v>315</v>
      </c>
      <c r="H150" s="258">
        <v>340</v>
      </c>
      <c r="I150" s="258">
        <v>376</v>
      </c>
      <c r="J150" s="258">
        <v>540</v>
      </c>
      <c r="K150" s="258">
        <v>656</v>
      </c>
      <c r="L150" s="258">
        <v>799</v>
      </c>
      <c r="M150" s="258">
        <v>933</v>
      </c>
      <c r="N150" s="258">
        <v>1039</v>
      </c>
      <c r="O150" s="258">
        <v>1098</v>
      </c>
      <c r="P150" s="258">
        <v>1109</v>
      </c>
      <c r="Q150" s="310">
        <v>1140</v>
      </c>
    </row>
    <row r="151" spans="1:17" ht="9.3000000000000007" customHeight="1">
      <c r="A151" s="314"/>
      <c r="B151" s="2" t="s">
        <v>5</v>
      </c>
      <c r="C151" s="304">
        <v>149</v>
      </c>
      <c r="D151" s="258">
        <v>222</v>
      </c>
      <c r="E151" s="258">
        <v>305</v>
      </c>
      <c r="F151" s="258">
        <v>327</v>
      </c>
      <c r="G151" s="258">
        <v>339</v>
      </c>
      <c r="H151" s="258">
        <v>429</v>
      </c>
      <c r="I151" s="258">
        <v>557</v>
      </c>
      <c r="J151" s="258">
        <v>651</v>
      </c>
      <c r="K151" s="258">
        <v>757</v>
      </c>
      <c r="L151" s="258">
        <v>711</v>
      </c>
      <c r="M151" s="258">
        <v>786</v>
      </c>
      <c r="N151" s="258">
        <v>792</v>
      </c>
      <c r="O151" s="258">
        <v>807</v>
      </c>
      <c r="P151" s="258">
        <v>706</v>
      </c>
      <c r="Q151" s="310">
        <v>678</v>
      </c>
    </row>
    <row r="152" spans="1:17" ht="10.8" customHeight="1">
      <c r="A152" s="315"/>
      <c r="B152" s="185" t="s">
        <v>7</v>
      </c>
      <c r="C152" s="307">
        <v>209</v>
      </c>
      <c r="D152" s="259">
        <v>309</v>
      </c>
      <c r="E152" s="259">
        <v>409</v>
      </c>
      <c r="F152" s="259">
        <v>478</v>
      </c>
      <c r="G152" s="259">
        <v>525</v>
      </c>
      <c r="H152" s="259">
        <v>623</v>
      </c>
      <c r="I152" s="259">
        <v>774</v>
      </c>
      <c r="J152" s="259">
        <v>981</v>
      </c>
      <c r="K152" s="259">
        <v>1172</v>
      </c>
      <c r="L152" s="259">
        <v>1257</v>
      </c>
      <c r="M152" s="259">
        <v>1461</v>
      </c>
      <c r="N152" s="259">
        <v>1536</v>
      </c>
      <c r="O152" s="259">
        <v>1636</v>
      </c>
      <c r="P152" s="259">
        <v>1618</v>
      </c>
      <c r="Q152" s="309">
        <v>1690</v>
      </c>
    </row>
    <row r="153" spans="1:17" ht="10.5" customHeight="1">
      <c r="A153" s="300">
        <v>8</v>
      </c>
      <c r="B153" s="184" t="s">
        <v>2</v>
      </c>
      <c r="C153" s="318">
        <v>51.9</v>
      </c>
      <c r="D153" s="262">
        <v>66.400000000000006</v>
      </c>
      <c r="E153" s="262">
        <v>82.5</v>
      </c>
      <c r="F153" s="262">
        <v>89.4</v>
      </c>
      <c r="G153" s="237">
        <v>106</v>
      </c>
      <c r="H153" s="237">
        <v>117</v>
      </c>
      <c r="I153" s="237">
        <v>126</v>
      </c>
      <c r="J153" s="237">
        <v>160</v>
      </c>
      <c r="K153" s="237">
        <v>185</v>
      </c>
      <c r="L153" s="237">
        <v>195</v>
      </c>
      <c r="M153" s="237">
        <v>208</v>
      </c>
      <c r="N153" s="237">
        <v>223</v>
      </c>
      <c r="O153" s="85" t="s">
        <v>21</v>
      </c>
      <c r="P153" s="85" t="s">
        <v>21</v>
      </c>
      <c r="Q153" s="221" t="s">
        <v>21</v>
      </c>
    </row>
    <row r="154" spans="1:17" ht="9" customHeight="1">
      <c r="A154" s="314"/>
      <c r="B154" s="2" t="s">
        <v>3</v>
      </c>
      <c r="C154" s="304">
        <v>114</v>
      </c>
      <c r="D154" s="258">
        <v>159</v>
      </c>
      <c r="E154" s="258">
        <v>194</v>
      </c>
      <c r="F154" s="258">
        <v>249</v>
      </c>
      <c r="G154" s="258">
        <v>296</v>
      </c>
      <c r="H154" s="258">
        <v>322</v>
      </c>
      <c r="I154" s="258">
        <v>358</v>
      </c>
      <c r="J154" s="258">
        <v>499</v>
      </c>
      <c r="K154" s="258">
        <v>608</v>
      </c>
      <c r="L154" s="258">
        <v>743</v>
      </c>
      <c r="M154" s="258">
        <v>871</v>
      </c>
      <c r="N154" s="258">
        <v>974</v>
      </c>
      <c r="O154" s="258">
        <v>1074</v>
      </c>
      <c r="P154" s="258">
        <v>1068</v>
      </c>
      <c r="Q154" s="310">
        <v>1154</v>
      </c>
    </row>
    <row r="155" spans="1:17" ht="9.3000000000000007" customHeight="1">
      <c r="A155" s="314"/>
      <c r="B155" s="2" t="s">
        <v>5</v>
      </c>
      <c r="C155" s="304">
        <v>137</v>
      </c>
      <c r="D155" s="258">
        <v>204</v>
      </c>
      <c r="E155" s="258">
        <v>290</v>
      </c>
      <c r="F155" s="258">
        <v>301</v>
      </c>
      <c r="G155" s="258">
        <v>322</v>
      </c>
      <c r="H155" s="258">
        <v>398</v>
      </c>
      <c r="I155" s="258">
        <v>532</v>
      </c>
      <c r="J155" s="258">
        <v>606</v>
      </c>
      <c r="K155" s="258">
        <v>708</v>
      </c>
      <c r="L155" s="258">
        <v>672</v>
      </c>
      <c r="M155" s="258">
        <v>757</v>
      </c>
      <c r="N155" s="258">
        <v>768</v>
      </c>
      <c r="O155" s="258">
        <v>815</v>
      </c>
      <c r="P155" s="258">
        <v>718</v>
      </c>
      <c r="Q155" s="310">
        <v>730</v>
      </c>
    </row>
    <row r="156" spans="1:17" ht="10.8" customHeight="1">
      <c r="A156" s="315"/>
      <c r="B156" s="185" t="s">
        <v>7</v>
      </c>
      <c r="C156" s="307">
        <v>193</v>
      </c>
      <c r="D156" s="259">
        <v>286</v>
      </c>
      <c r="E156" s="259">
        <v>387</v>
      </c>
      <c r="F156" s="259">
        <v>443</v>
      </c>
      <c r="G156" s="259">
        <v>492</v>
      </c>
      <c r="H156" s="259">
        <v>580</v>
      </c>
      <c r="I156" s="259">
        <v>732</v>
      </c>
      <c r="J156" s="259">
        <v>903</v>
      </c>
      <c r="K156" s="259">
        <v>1077</v>
      </c>
      <c r="L156" s="259">
        <v>1162</v>
      </c>
      <c r="M156" s="259">
        <v>1349</v>
      </c>
      <c r="N156" s="259">
        <v>1425</v>
      </c>
      <c r="O156" s="259">
        <v>1566</v>
      </c>
      <c r="P156" s="259">
        <v>1533</v>
      </c>
      <c r="Q156" s="309">
        <v>1663</v>
      </c>
    </row>
    <row r="157" spans="1:17" ht="10.5" customHeight="1">
      <c r="A157" s="300">
        <v>9</v>
      </c>
      <c r="B157" s="184" t="s">
        <v>2</v>
      </c>
      <c r="C157" s="318">
        <v>49.4</v>
      </c>
      <c r="D157" s="262">
        <v>63.5</v>
      </c>
      <c r="E157" s="262">
        <v>78.7</v>
      </c>
      <c r="F157" s="262">
        <v>86.6</v>
      </c>
      <c r="G157" s="237">
        <v>103</v>
      </c>
      <c r="H157" s="237">
        <v>115</v>
      </c>
      <c r="I157" s="237">
        <v>125</v>
      </c>
      <c r="J157" s="237">
        <v>160</v>
      </c>
      <c r="K157" s="237">
        <v>194</v>
      </c>
      <c r="L157" s="237">
        <v>197</v>
      </c>
      <c r="M157" s="237">
        <v>223</v>
      </c>
      <c r="N157" s="237">
        <v>233</v>
      </c>
      <c r="O157" s="237">
        <v>243</v>
      </c>
      <c r="P157" s="85" t="s">
        <v>21</v>
      </c>
      <c r="Q157" s="221" t="s">
        <v>21</v>
      </c>
    </row>
    <row r="158" spans="1:17" ht="9" customHeight="1">
      <c r="A158" s="314"/>
      <c r="B158" s="2" t="s">
        <v>3</v>
      </c>
      <c r="C158" s="304">
        <v>107</v>
      </c>
      <c r="D158" s="258">
        <v>149</v>
      </c>
      <c r="E158" s="258">
        <v>182</v>
      </c>
      <c r="F158" s="258">
        <v>237</v>
      </c>
      <c r="G158" s="258">
        <v>279</v>
      </c>
      <c r="H158" s="258">
        <v>309</v>
      </c>
      <c r="I158" s="258">
        <v>340</v>
      </c>
      <c r="J158" s="258">
        <v>479</v>
      </c>
      <c r="K158" s="258">
        <v>597</v>
      </c>
      <c r="L158" s="258">
        <v>713</v>
      </c>
      <c r="M158" s="258">
        <v>862</v>
      </c>
      <c r="N158" s="258">
        <v>941</v>
      </c>
      <c r="O158" s="258">
        <v>1004</v>
      </c>
      <c r="P158" s="258">
        <v>1047</v>
      </c>
      <c r="Q158" s="310">
        <v>1110</v>
      </c>
    </row>
    <row r="159" spans="1:17" ht="9.3000000000000007" customHeight="1">
      <c r="A159" s="314"/>
      <c r="B159" s="2" t="s">
        <v>5</v>
      </c>
      <c r="C159" s="304">
        <v>125</v>
      </c>
      <c r="D159" s="258">
        <v>185</v>
      </c>
      <c r="E159" s="258">
        <v>274</v>
      </c>
      <c r="F159" s="258">
        <v>283</v>
      </c>
      <c r="G159" s="258">
        <v>306</v>
      </c>
      <c r="H159" s="258">
        <v>375</v>
      </c>
      <c r="I159" s="258">
        <v>506</v>
      </c>
      <c r="J159" s="258">
        <v>585</v>
      </c>
      <c r="K159" s="258">
        <v>697</v>
      </c>
      <c r="L159" s="258">
        <v>652</v>
      </c>
      <c r="M159" s="258">
        <v>755</v>
      </c>
      <c r="N159" s="258">
        <v>753</v>
      </c>
      <c r="O159" s="258">
        <v>790</v>
      </c>
      <c r="P159" s="258">
        <v>718</v>
      </c>
      <c r="Q159" s="310">
        <v>745</v>
      </c>
    </row>
    <row r="160" spans="1:17" ht="10.8" customHeight="1">
      <c r="A160" s="315"/>
      <c r="B160" s="185" t="s">
        <v>7</v>
      </c>
      <c r="C160" s="307">
        <v>177</v>
      </c>
      <c r="D160" s="259">
        <v>260</v>
      </c>
      <c r="E160" s="259">
        <v>364</v>
      </c>
      <c r="F160" s="259">
        <v>417</v>
      </c>
      <c r="G160" s="259">
        <v>464</v>
      </c>
      <c r="H160" s="259">
        <v>548</v>
      </c>
      <c r="I160" s="259">
        <v>692</v>
      </c>
      <c r="J160" s="259">
        <v>866</v>
      </c>
      <c r="K160" s="259">
        <v>1052</v>
      </c>
      <c r="L160" s="259">
        <v>1115</v>
      </c>
      <c r="M160" s="259">
        <v>1325</v>
      </c>
      <c r="N160" s="259">
        <v>1374</v>
      </c>
      <c r="O160" s="259">
        <v>1452</v>
      </c>
      <c r="P160" s="259">
        <v>1486</v>
      </c>
      <c r="Q160" s="309">
        <v>1569</v>
      </c>
    </row>
    <row r="161" spans="1:17" ht="10.5" customHeight="1">
      <c r="A161" s="300">
        <v>10</v>
      </c>
      <c r="B161" s="184" t="s">
        <v>2</v>
      </c>
      <c r="C161" s="318">
        <v>41.8</v>
      </c>
      <c r="D161" s="262">
        <v>59.2</v>
      </c>
      <c r="E161" s="262">
        <v>74.900000000000006</v>
      </c>
      <c r="F161" s="262">
        <v>82.2</v>
      </c>
      <c r="G161" s="262">
        <v>99.2</v>
      </c>
      <c r="H161" s="237">
        <v>110</v>
      </c>
      <c r="I161" s="237">
        <v>123</v>
      </c>
      <c r="J161" s="237">
        <v>156</v>
      </c>
      <c r="K161" s="237">
        <v>192</v>
      </c>
      <c r="L161" s="237">
        <v>200</v>
      </c>
      <c r="M161" s="237">
        <v>228</v>
      </c>
      <c r="N161" s="237">
        <v>244</v>
      </c>
      <c r="O161" s="237">
        <v>252</v>
      </c>
      <c r="P161" s="237">
        <v>213</v>
      </c>
      <c r="Q161" s="221" t="s">
        <v>21</v>
      </c>
    </row>
    <row r="162" spans="1:17" ht="9" customHeight="1">
      <c r="A162" s="314"/>
      <c r="B162" s="2" t="s">
        <v>3</v>
      </c>
      <c r="C162" s="319">
        <v>88.9</v>
      </c>
      <c r="D162" s="258">
        <v>136</v>
      </c>
      <c r="E162" s="258">
        <v>171</v>
      </c>
      <c r="F162" s="258">
        <v>220</v>
      </c>
      <c r="G162" s="258">
        <v>263</v>
      </c>
      <c r="H162" s="258">
        <v>290</v>
      </c>
      <c r="I162" s="258">
        <v>323</v>
      </c>
      <c r="J162" s="258">
        <v>450</v>
      </c>
      <c r="K162" s="258">
        <v>550</v>
      </c>
      <c r="L162" s="258">
        <v>675</v>
      </c>
      <c r="M162" s="258">
        <v>797</v>
      </c>
      <c r="N162" s="258">
        <v>889</v>
      </c>
      <c r="O162" s="258">
        <v>969</v>
      </c>
      <c r="P162" s="258">
        <v>1005</v>
      </c>
      <c r="Q162" s="310">
        <v>1088</v>
      </c>
    </row>
    <row r="163" spans="1:17" ht="9.3000000000000007" customHeight="1">
      <c r="A163" s="314"/>
      <c r="B163" s="2" t="s">
        <v>5</v>
      </c>
      <c r="C163" s="319">
        <v>98.1</v>
      </c>
      <c r="D163" s="258">
        <v>163</v>
      </c>
      <c r="E163" s="258">
        <v>259</v>
      </c>
      <c r="F163" s="258">
        <v>256</v>
      </c>
      <c r="G163" s="258">
        <v>291</v>
      </c>
      <c r="H163" s="258">
        <v>344</v>
      </c>
      <c r="I163" s="258">
        <v>471</v>
      </c>
      <c r="J163" s="258">
        <v>541</v>
      </c>
      <c r="K163" s="258">
        <v>648</v>
      </c>
      <c r="L163" s="258">
        <v>625</v>
      </c>
      <c r="M163" s="258">
        <v>711</v>
      </c>
      <c r="N163" s="258">
        <v>722</v>
      </c>
      <c r="O163" s="258">
        <v>772</v>
      </c>
      <c r="P163" s="258">
        <v>715</v>
      </c>
      <c r="Q163" s="310">
        <v>746</v>
      </c>
    </row>
    <row r="164" spans="1:17" ht="10.8" customHeight="1">
      <c r="A164" s="315"/>
      <c r="B164" s="185" t="s">
        <v>7</v>
      </c>
      <c r="C164" s="307">
        <v>141</v>
      </c>
      <c r="D164" s="259">
        <v>232</v>
      </c>
      <c r="E164" s="259">
        <v>342</v>
      </c>
      <c r="F164" s="259">
        <v>379</v>
      </c>
      <c r="G164" s="259">
        <v>438</v>
      </c>
      <c r="H164" s="259">
        <v>504</v>
      </c>
      <c r="I164" s="259">
        <v>644</v>
      </c>
      <c r="J164" s="259">
        <v>801</v>
      </c>
      <c r="K164" s="259">
        <v>966</v>
      </c>
      <c r="L164" s="259">
        <v>1055</v>
      </c>
      <c r="M164" s="259">
        <v>1223</v>
      </c>
      <c r="N164" s="259">
        <v>1296</v>
      </c>
      <c r="O164" s="259">
        <v>1401</v>
      </c>
      <c r="P164" s="259">
        <v>1418</v>
      </c>
      <c r="Q164" s="309">
        <v>1518</v>
      </c>
    </row>
    <row r="165" spans="1:17" ht="10.5" customHeight="1">
      <c r="A165" s="300" t="s">
        <v>555</v>
      </c>
      <c r="B165" s="184" t="s">
        <v>2</v>
      </c>
      <c r="C165" s="318">
        <v>40.6</v>
      </c>
      <c r="D165" s="262">
        <v>53.6</v>
      </c>
      <c r="E165" s="262">
        <v>71.099999999999994</v>
      </c>
      <c r="F165" s="262">
        <v>74.8</v>
      </c>
      <c r="G165" s="262">
        <v>96</v>
      </c>
      <c r="H165" s="237">
        <v>100</v>
      </c>
      <c r="I165" s="237">
        <v>120</v>
      </c>
      <c r="J165" s="237">
        <v>144</v>
      </c>
      <c r="K165" s="237">
        <v>189</v>
      </c>
      <c r="L165" s="237">
        <v>189</v>
      </c>
      <c r="M165" s="237">
        <v>229</v>
      </c>
      <c r="N165" s="237">
        <v>236</v>
      </c>
      <c r="O165" s="237">
        <v>262</v>
      </c>
      <c r="P165" s="237">
        <v>216</v>
      </c>
      <c r="Q165" s="316">
        <v>241</v>
      </c>
    </row>
    <row r="166" spans="1:17" ht="9" customHeight="1">
      <c r="A166" s="314"/>
      <c r="B166" s="2" t="s">
        <v>3</v>
      </c>
      <c r="C166" s="319">
        <v>85.8</v>
      </c>
      <c r="D166" s="258">
        <v>122</v>
      </c>
      <c r="E166" s="258">
        <v>160</v>
      </c>
      <c r="F166" s="258">
        <v>197</v>
      </c>
      <c r="G166" s="258">
        <v>251</v>
      </c>
      <c r="H166" s="258">
        <v>257</v>
      </c>
      <c r="I166" s="258">
        <v>310</v>
      </c>
      <c r="J166" s="258">
        <v>404</v>
      </c>
      <c r="K166" s="258">
        <v>527</v>
      </c>
      <c r="L166" s="258">
        <v>608</v>
      </c>
      <c r="M166" s="258">
        <v>764</v>
      </c>
      <c r="N166" s="258">
        <v>804</v>
      </c>
      <c r="O166" s="258">
        <v>914</v>
      </c>
      <c r="P166" s="258">
        <v>912</v>
      </c>
      <c r="Q166" s="310">
        <v>1040</v>
      </c>
    </row>
    <row r="167" spans="1:17" ht="9.3000000000000007" customHeight="1">
      <c r="A167" s="314"/>
      <c r="B167" s="2" t="s">
        <v>5</v>
      </c>
      <c r="C167" s="319">
        <v>93.4</v>
      </c>
      <c r="D167" s="258">
        <v>142</v>
      </c>
      <c r="E167" s="258">
        <v>243</v>
      </c>
      <c r="F167" s="258">
        <v>224</v>
      </c>
      <c r="G167" s="258">
        <v>279</v>
      </c>
      <c r="H167" s="258">
        <v>296</v>
      </c>
      <c r="I167" s="258">
        <v>443</v>
      </c>
      <c r="J167" s="258">
        <v>470</v>
      </c>
      <c r="K167" s="258">
        <v>625</v>
      </c>
      <c r="L167" s="258">
        <v>572</v>
      </c>
      <c r="M167" s="258">
        <v>688</v>
      </c>
      <c r="N167" s="258">
        <v>663</v>
      </c>
      <c r="O167" s="258">
        <v>741</v>
      </c>
      <c r="P167" s="258">
        <v>666</v>
      </c>
      <c r="Q167" s="310">
        <v>741</v>
      </c>
    </row>
    <row r="168" spans="1:17" ht="10.8" customHeight="1">
      <c r="A168" s="315"/>
      <c r="B168" s="185" t="s">
        <v>7</v>
      </c>
      <c r="C168" s="307">
        <v>135</v>
      </c>
      <c r="D168" s="259">
        <v>203</v>
      </c>
      <c r="E168" s="259">
        <v>320</v>
      </c>
      <c r="F168" s="259">
        <v>333</v>
      </c>
      <c r="G168" s="259">
        <v>418</v>
      </c>
      <c r="H168" s="259">
        <v>437</v>
      </c>
      <c r="I168" s="259">
        <v>609</v>
      </c>
      <c r="J168" s="259">
        <v>701</v>
      </c>
      <c r="K168" s="259">
        <v>925</v>
      </c>
      <c r="L168" s="259">
        <v>952</v>
      </c>
      <c r="M168" s="259">
        <v>1173</v>
      </c>
      <c r="N168" s="259">
        <v>1173</v>
      </c>
      <c r="O168" s="259">
        <v>1322</v>
      </c>
      <c r="P168" s="259">
        <v>1286</v>
      </c>
      <c r="Q168" s="309">
        <v>1447</v>
      </c>
    </row>
    <row r="169" spans="1:17" ht="10.5" customHeight="1">
      <c r="A169" s="300" t="s">
        <v>554</v>
      </c>
      <c r="B169" s="184" t="s">
        <v>2</v>
      </c>
      <c r="C169" s="318">
        <v>42.3</v>
      </c>
      <c r="D169" s="262">
        <v>56.1</v>
      </c>
      <c r="E169" s="262">
        <v>66.099999999999994</v>
      </c>
      <c r="F169" s="262">
        <v>84.4</v>
      </c>
      <c r="G169" s="262">
        <v>90.8</v>
      </c>
      <c r="H169" s="237">
        <v>113</v>
      </c>
      <c r="I169" s="237">
        <v>115</v>
      </c>
      <c r="J169" s="237">
        <v>176</v>
      </c>
      <c r="K169" s="237">
        <v>183</v>
      </c>
      <c r="L169" s="237">
        <v>243</v>
      </c>
      <c r="M169" s="237">
        <v>230</v>
      </c>
      <c r="N169" s="237">
        <v>306</v>
      </c>
      <c r="O169" s="237">
        <v>254</v>
      </c>
      <c r="P169" s="237">
        <v>320</v>
      </c>
      <c r="Q169" s="316">
        <v>242</v>
      </c>
    </row>
    <row r="170" spans="1:17" ht="9" customHeight="1">
      <c r="A170" s="314"/>
      <c r="B170" s="2" t="s">
        <v>3</v>
      </c>
      <c r="C170" s="319">
        <v>85.7</v>
      </c>
      <c r="D170" s="258">
        <v>121</v>
      </c>
      <c r="E170" s="258">
        <v>146</v>
      </c>
      <c r="F170" s="258">
        <v>204</v>
      </c>
      <c r="G170" s="258">
        <v>233</v>
      </c>
      <c r="H170" s="258">
        <v>269</v>
      </c>
      <c r="I170" s="258">
        <v>291</v>
      </c>
      <c r="J170" s="258">
        <v>433</v>
      </c>
      <c r="K170" s="258">
        <v>495</v>
      </c>
      <c r="L170" s="258">
        <v>661</v>
      </c>
      <c r="M170" s="258">
        <v>722</v>
      </c>
      <c r="N170" s="258">
        <v>862</v>
      </c>
      <c r="O170" s="258">
        <v>825</v>
      </c>
      <c r="P170" s="258">
        <v>997</v>
      </c>
      <c r="Q170" s="310">
        <v>944</v>
      </c>
    </row>
    <row r="171" spans="1:17" ht="9.3000000000000007" customHeight="1">
      <c r="A171" s="314"/>
      <c r="B171" s="2" t="s">
        <v>5</v>
      </c>
      <c r="C171" s="319">
        <v>92.5</v>
      </c>
      <c r="D171" s="258">
        <v>139</v>
      </c>
      <c r="E171" s="258">
        <v>214</v>
      </c>
      <c r="F171" s="258">
        <v>229</v>
      </c>
      <c r="G171" s="258">
        <v>263</v>
      </c>
      <c r="H171" s="258">
        <v>307</v>
      </c>
      <c r="I171" s="258">
        <v>407</v>
      </c>
      <c r="J171" s="258">
        <v>501</v>
      </c>
      <c r="K171" s="258">
        <v>592</v>
      </c>
      <c r="L171" s="258">
        <v>627</v>
      </c>
      <c r="M171" s="258">
        <v>659</v>
      </c>
      <c r="N171" s="258">
        <v>724</v>
      </c>
      <c r="O171" s="258">
        <v>679</v>
      </c>
      <c r="P171" s="258">
        <v>756</v>
      </c>
      <c r="Q171" s="310">
        <v>688</v>
      </c>
    </row>
    <row r="172" spans="1:17" ht="10.8" customHeight="1">
      <c r="A172" s="315"/>
      <c r="B172" s="185" t="s">
        <v>7</v>
      </c>
      <c r="C172" s="307">
        <v>132</v>
      </c>
      <c r="D172" s="259">
        <v>198</v>
      </c>
      <c r="E172" s="259">
        <v>284</v>
      </c>
      <c r="F172" s="259">
        <v>336</v>
      </c>
      <c r="G172" s="259">
        <v>390</v>
      </c>
      <c r="H172" s="259">
        <v>447</v>
      </c>
      <c r="I172" s="259">
        <v>560</v>
      </c>
      <c r="J172" s="259">
        <v>729</v>
      </c>
      <c r="K172" s="259">
        <v>869</v>
      </c>
      <c r="L172" s="259">
        <v>1007</v>
      </c>
      <c r="M172" s="259">
        <v>1107</v>
      </c>
      <c r="N172" s="259">
        <v>1229</v>
      </c>
      <c r="O172" s="259">
        <v>1194</v>
      </c>
      <c r="P172" s="259">
        <v>1368</v>
      </c>
      <c r="Q172" s="309">
        <v>1313</v>
      </c>
    </row>
    <row r="173" spans="1:17" ht="10.5" customHeight="1">
      <c r="A173" s="300">
        <v>14</v>
      </c>
      <c r="B173" s="184" t="s">
        <v>2</v>
      </c>
      <c r="C173" s="318">
        <v>38.299999999999997</v>
      </c>
      <c r="D173" s="262">
        <v>50.3</v>
      </c>
      <c r="E173" s="262">
        <v>59.7</v>
      </c>
      <c r="F173" s="262">
        <v>76</v>
      </c>
      <c r="G173" s="262">
        <v>82.6</v>
      </c>
      <c r="H173" s="237">
        <v>103</v>
      </c>
      <c r="I173" s="237">
        <v>105</v>
      </c>
      <c r="J173" s="237">
        <v>160</v>
      </c>
      <c r="K173" s="237">
        <v>168</v>
      </c>
      <c r="L173" s="237">
        <v>223</v>
      </c>
      <c r="M173" s="237">
        <v>215</v>
      </c>
      <c r="N173" s="237">
        <v>285</v>
      </c>
      <c r="O173" s="237">
        <v>323</v>
      </c>
      <c r="P173" s="237">
        <v>311</v>
      </c>
      <c r="Q173" s="316">
        <v>345</v>
      </c>
    </row>
    <row r="174" spans="1:17" ht="9" customHeight="1">
      <c r="A174" s="314"/>
      <c r="B174" s="2" t="s">
        <v>3</v>
      </c>
      <c r="C174" s="319">
        <v>76.599999999999994</v>
      </c>
      <c r="D174" s="258">
        <v>107</v>
      </c>
      <c r="E174" s="258">
        <v>131</v>
      </c>
      <c r="F174" s="258">
        <v>180</v>
      </c>
      <c r="G174" s="258">
        <v>208</v>
      </c>
      <c r="H174" s="258">
        <v>240</v>
      </c>
      <c r="I174" s="258">
        <v>259</v>
      </c>
      <c r="J174" s="258">
        <v>386</v>
      </c>
      <c r="K174" s="258">
        <v>442</v>
      </c>
      <c r="L174" s="258">
        <v>591</v>
      </c>
      <c r="M174" s="258">
        <v>650</v>
      </c>
      <c r="N174" s="258">
        <v>771</v>
      </c>
      <c r="O174" s="258">
        <v>884</v>
      </c>
      <c r="P174" s="258">
        <v>899</v>
      </c>
      <c r="Q174" s="310">
        <v>1026</v>
      </c>
    </row>
    <row r="175" spans="1:17" ht="9.3000000000000007" customHeight="1">
      <c r="A175" s="314"/>
      <c r="B175" s="2" t="s">
        <v>5</v>
      </c>
      <c r="C175" s="319">
        <v>81.3</v>
      </c>
      <c r="D175" s="258">
        <v>120</v>
      </c>
      <c r="E175" s="258">
        <v>186</v>
      </c>
      <c r="F175" s="258">
        <v>198</v>
      </c>
      <c r="G175" s="258">
        <v>238</v>
      </c>
      <c r="H175" s="258">
        <v>268</v>
      </c>
      <c r="I175" s="258">
        <v>350</v>
      </c>
      <c r="J175" s="258">
        <v>435</v>
      </c>
      <c r="K175" s="258">
        <v>534</v>
      </c>
      <c r="L175" s="258">
        <v>568</v>
      </c>
      <c r="M175" s="258">
        <v>601</v>
      </c>
      <c r="N175" s="258">
        <v>658</v>
      </c>
      <c r="O175" s="258">
        <v>741</v>
      </c>
      <c r="P175" s="258">
        <v>694</v>
      </c>
      <c r="Q175" s="310">
        <v>776</v>
      </c>
    </row>
    <row r="176" spans="1:17" ht="10.8" customHeight="1">
      <c r="A176" s="387"/>
      <c r="B176" s="393" t="s">
        <v>7</v>
      </c>
      <c r="C176" s="370">
        <v>116</v>
      </c>
      <c r="D176" s="371">
        <v>172</v>
      </c>
      <c r="E176" s="371">
        <v>248</v>
      </c>
      <c r="F176" s="371">
        <v>292</v>
      </c>
      <c r="G176" s="371">
        <v>350</v>
      </c>
      <c r="H176" s="371">
        <v>391</v>
      </c>
      <c r="I176" s="371">
        <v>488</v>
      </c>
      <c r="J176" s="371">
        <v>636</v>
      </c>
      <c r="K176" s="371">
        <v>778</v>
      </c>
      <c r="L176" s="371">
        <v>901</v>
      </c>
      <c r="M176" s="371">
        <v>997</v>
      </c>
      <c r="N176" s="371">
        <v>1102</v>
      </c>
      <c r="O176" s="371">
        <v>1251</v>
      </c>
      <c r="P176" s="371">
        <v>1233</v>
      </c>
      <c r="Q176" s="372">
        <v>1392</v>
      </c>
    </row>
    <row r="214" spans="1:18" ht="40.799999999999997" customHeight="1">
      <c r="A214" s="449" t="s">
        <v>348</v>
      </c>
      <c r="B214" s="449"/>
      <c r="C214" s="449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  <c r="R214" s="449"/>
    </row>
    <row r="215" spans="1:18" ht="12.3" customHeight="1">
      <c r="A215" s="450" t="s">
        <v>69</v>
      </c>
      <c r="B215" s="451"/>
      <c r="C215" s="454" t="s">
        <v>14</v>
      </c>
      <c r="D215" s="455"/>
      <c r="E215" s="455"/>
      <c r="F215" s="455"/>
      <c r="G215" s="455"/>
      <c r="H215" s="455"/>
      <c r="I215" s="455"/>
      <c r="J215" s="455"/>
      <c r="K215" s="455"/>
      <c r="L215" s="455"/>
      <c r="M215" s="455"/>
      <c r="N215" s="455"/>
      <c r="O215" s="455"/>
      <c r="P215" s="455"/>
      <c r="Q215" s="455"/>
    </row>
    <row r="216" spans="1:18" ht="9" customHeight="1">
      <c r="A216" s="452"/>
      <c r="B216" s="453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4">
        <v>18</v>
      </c>
    </row>
    <row r="217" spans="1:18" ht="10.5" customHeight="1">
      <c r="A217" s="300">
        <v>5</v>
      </c>
      <c r="B217" s="184" t="s">
        <v>2</v>
      </c>
      <c r="C217" s="318">
        <v>58.2</v>
      </c>
      <c r="D217" s="262">
        <v>67</v>
      </c>
      <c r="E217" s="85" t="s">
        <v>1</v>
      </c>
      <c r="F217" s="262">
        <v>71.3</v>
      </c>
      <c r="G217" s="85" t="s">
        <v>1</v>
      </c>
      <c r="H217" s="85" t="s">
        <v>21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1</v>
      </c>
      <c r="Q217" s="221" t="s">
        <v>1</v>
      </c>
    </row>
    <row r="218" spans="1:18" ht="9" customHeight="1">
      <c r="A218" s="314"/>
      <c r="B218" s="2" t="s">
        <v>3</v>
      </c>
      <c r="C218" s="304">
        <v>157</v>
      </c>
      <c r="D218" s="258">
        <v>216</v>
      </c>
      <c r="E218" s="146" t="s">
        <v>1</v>
      </c>
      <c r="F218" s="258">
        <v>340</v>
      </c>
      <c r="G218" s="146" t="s">
        <v>1</v>
      </c>
      <c r="H218" s="258">
        <v>422</v>
      </c>
      <c r="I218" s="146" t="s">
        <v>1</v>
      </c>
      <c r="J218" s="258">
        <v>611</v>
      </c>
      <c r="K218" s="146" t="s">
        <v>1</v>
      </c>
      <c r="L218" s="258">
        <v>851</v>
      </c>
      <c r="M218" s="146" t="s">
        <v>1</v>
      </c>
      <c r="N218" s="258">
        <v>946</v>
      </c>
      <c r="O218" s="146" t="s">
        <v>1</v>
      </c>
      <c r="P218" s="146" t="s">
        <v>1</v>
      </c>
      <c r="Q218" s="223" t="s">
        <v>1</v>
      </c>
    </row>
    <row r="219" spans="1:18" ht="9.3000000000000007" customHeight="1">
      <c r="A219" s="314"/>
      <c r="B219" s="2" t="s">
        <v>5</v>
      </c>
      <c r="C219" s="304">
        <v>197</v>
      </c>
      <c r="D219" s="258">
        <v>299</v>
      </c>
      <c r="E219" s="146" t="s">
        <v>1</v>
      </c>
      <c r="F219" s="258">
        <v>460</v>
      </c>
      <c r="G219" s="146" t="s">
        <v>1</v>
      </c>
      <c r="H219" s="258">
        <v>586</v>
      </c>
      <c r="I219" s="146" t="s">
        <v>1</v>
      </c>
      <c r="J219" s="258">
        <v>667</v>
      </c>
      <c r="K219" s="146" t="s">
        <v>1</v>
      </c>
      <c r="L219" s="258">
        <v>616</v>
      </c>
      <c r="M219" s="146" t="s">
        <v>1</v>
      </c>
      <c r="N219" s="258">
        <v>464</v>
      </c>
      <c r="O219" s="146" t="s">
        <v>1</v>
      </c>
      <c r="P219" s="146" t="s">
        <v>1</v>
      </c>
      <c r="Q219" s="223" t="s">
        <v>1</v>
      </c>
    </row>
    <row r="220" spans="1:18" ht="10.8" customHeight="1">
      <c r="A220" s="315"/>
      <c r="B220" s="185" t="s">
        <v>7</v>
      </c>
      <c r="C220" s="307">
        <v>283</v>
      </c>
      <c r="D220" s="259">
        <v>427</v>
      </c>
      <c r="E220" s="149" t="s">
        <v>1</v>
      </c>
      <c r="F220" s="259">
        <v>687</v>
      </c>
      <c r="G220" s="149" t="s">
        <v>1</v>
      </c>
      <c r="H220" s="259">
        <v>877</v>
      </c>
      <c r="I220" s="149" t="s">
        <v>1</v>
      </c>
      <c r="J220" s="259">
        <v>1168</v>
      </c>
      <c r="K220" s="149" t="s">
        <v>1</v>
      </c>
      <c r="L220" s="259">
        <v>1427</v>
      </c>
      <c r="M220" s="149" t="s">
        <v>1</v>
      </c>
      <c r="N220" s="259">
        <v>1585</v>
      </c>
      <c r="O220" s="149" t="s">
        <v>1</v>
      </c>
      <c r="P220" s="149" t="s">
        <v>1</v>
      </c>
      <c r="Q220" s="225" t="s">
        <v>1</v>
      </c>
    </row>
    <row r="221" spans="1:18" ht="10.5" customHeight="1">
      <c r="A221" s="300" t="s">
        <v>558</v>
      </c>
      <c r="B221" s="184" t="s">
        <v>2</v>
      </c>
      <c r="C221" s="318">
        <v>57</v>
      </c>
      <c r="D221" s="262">
        <v>66.8</v>
      </c>
      <c r="E221" s="85" t="s">
        <v>1</v>
      </c>
      <c r="F221" s="262">
        <v>76.900000000000006</v>
      </c>
      <c r="G221" s="85" t="s">
        <v>1</v>
      </c>
      <c r="H221" s="262">
        <v>85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221" t="s">
        <v>1</v>
      </c>
    </row>
    <row r="222" spans="1:18" ht="9" customHeight="1">
      <c r="A222" s="314"/>
      <c r="B222" s="2" t="s">
        <v>3</v>
      </c>
      <c r="C222" s="304">
        <v>151</v>
      </c>
      <c r="D222" s="258">
        <v>208</v>
      </c>
      <c r="E222" s="146" t="s">
        <v>1</v>
      </c>
      <c r="F222" s="258">
        <v>324</v>
      </c>
      <c r="G222" s="146" t="s">
        <v>1</v>
      </c>
      <c r="H222" s="258">
        <v>405</v>
      </c>
      <c r="I222" s="146" t="s">
        <v>1</v>
      </c>
      <c r="J222" s="258">
        <v>618</v>
      </c>
      <c r="K222" s="146" t="s">
        <v>1</v>
      </c>
      <c r="L222" s="258">
        <v>873</v>
      </c>
      <c r="M222" s="146" t="s">
        <v>1</v>
      </c>
      <c r="N222" s="258">
        <v>1019</v>
      </c>
      <c r="O222" s="258">
        <v>969</v>
      </c>
      <c r="P222" s="258">
        <v>873</v>
      </c>
      <c r="Q222" s="223" t="s">
        <v>1</v>
      </c>
    </row>
    <row r="223" spans="1:18" ht="9.3000000000000007" customHeight="1">
      <c r="A223" s="314"/>
      <c r="B223" s="2" t="s">
        <v>5</v>
      </c>
      <c r="C223" s="304">
        <v>189</v>
      </c>
      <c r="D223" s="258">
        <v>288</v>
      </c>
      <c r="E223" s="146" t="s">
        <v>1</v>
      </c>
      <c r="F223" s="258">
        <v>425</v>
      </c>
      <c r="G223" s="146" t="s">
        <v>1</v>
      </c>
      <c r="H223" s="258">
        <v>543</v>
      </c>
      <c r="I223" s="146" t="s">
        <v>1</v>
      </c>
      <c r="J223" s="258">
        <v>678</v>
      </c>
      <c r="K223" s="146" t="s">
        <v>1</v>
      </c>
      <c r="L223" s="258">
        <v>656</v>
      </c>
      <c r="M223" s="146" t="s">
        <v>1</v>
      </c>
      <c r="N223" s="258">
        <v>564</v>
      </c>
      <c r="O223" s="258">
        <v>475</v>
      </c>
      <c r="P223" s="258">
        <v>148</v>
      </c>
      <c r="Q223" s="223" t="s">
        <v>1</v>
      </c>
    </row>
    <row r="224" spans="1:18" ht="10.8" customHeight="1">
      <c r="A224" s="315"/>
      <c r="B224" s="185" t="s">
        <v>7</v>
      </c>
      <c r="C224" s="307">
        <v>271</v>
      </c>
      <c r="D224" s="259">
        <v>409</v>
      </c>
      <c r="E224" s="149" t="s">
        <v>1</v>
      </c>
      <c r="F224" s="259">
        <v>636</v>
      </c>
      <c r="G224" s="149" t="s">
        <v>1</v>
      </c>
      <c r="H224" s="259">
        <v>815</v>
      </c>
      <c r="I224" s="149" t="s">
        <v>1</v>
      </c>
      <c r="J224" s="259">
        <v>1145</v>
      </c>
      <c r="K224" s="149" t="s">
        <v>1</v>
      </c>
      <c r="L224" s="259">
        <v>1431</v>
      </c>
      <c r="M224" s="149" t="s">
        <v>1</v>
      </c>
      <c r="N224" s="259">
        <v>1640</v>
      </c>
      <c r="O224" s="259">
        <v>1608</v>
      </c>
      <c r="P224" s="259">
        <v>1501</v>
      </c>
      <c r="Q224" s="225" t="s">
        <v>1</v>
      </c>
    </row>
    <row r="225" spans="1:17" ht="10.5" customHeight="1">
      <c r="A225" s="300" t="s">
        <v>551</v>
      </c>
      <c r="B225" s="184" t="s">
        <v>2</v>
      </c>
      <c r="C225" s="318">
        <v>56.6</v>
      </c>
      <c r="D225" s="262">
        <v>67.8</v>
      </c>
      <c r="E225" s="262">
        <v>79.400000000000006</v>
      </c>
      <c r="F225" s="262">
        <v>82</v>
      </c>
      <c r="G225" s="262">
        <v>87.9</v>
      </c>
      <c r="H225" s="262">
        <v>96.5</v>
      </c>
      <c r="I225" s="262">
        <v>86.4</v>
      </c>
      <c r="J225" s="262">
        <v>99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221" t="s">
        <v>1</v>
      </c>
    </row>
    <row r="226" spans="1:17" ht="9" customHeight="1">
      <c r="A226" s="314"/>
      <c r="B226" s="2" t="s">
        <v>3</v>
      </c>
      <c r="C226" s="304">
        <v>146</v>
      </c>
      <c r="D226" s="258">
        <v>199</v>
      </c>
      <c r="E226" s="258">
        <v>235</v>
      </c>
      <c r="F226" s="258">
        <v>307</v>
      </c>
      <c r="G226" s="258">
        <v>366</v>
      </c>
      <c r="H226" s="258">
        <v>389</v>
      </c>
      <c r="I226" s="258">
        <v>423</v>
      </c>
      <c r="J226" s="258">
        <v>585</v>
      </c>
      <c r="K226" s="258">
        <v>685</v>
      </c>
      <c r="L226" s="258">
        <v>845</v>
      </c>
      <c r="M226" s="258">
        <v>930</v>
      </c>
      <c r="N226" s="258">
        <v>1059</v>
      </c>
      <c r="O226" s="258">
        <v>1046</v>
      </c>
      <c r="P226" s="258">
        <v>1004</v>
      </c>
      <c r="Q226" s="223" t="s">
        <v>1</v>
      </c>
    </row>
    <row r="227" spans="1:17" ht="9.3000000000000007" customHeight="1">
      <c r="A227" s="314"/>
      <c r="B227" s="2" t="s">
        <v>5</v>
      </c>
      <c r="C227" s="304">
        <v>180</v>
      </c>
      <c r="D227" s="258">
        <v>266</v>
      </c>
      <c r="E227" s="258">
        <v>324</v>
      </c>
      <c r="F227" s="258">
        <v>387</v>
      </c>
      <c r="G227" s="258">
        <v>356</v>
      </c>
      <c r="H227" s="258">
        <v>503</v>
      </c>
      <c r="I227" s="258">
        <v>580</v>
      </c>
      <c r="J227" s="258">
        <v>646</v>
      </c>
      <c r="K227" s="258">
        <v>723</v>
      </c>
      <c r="L227" s="258">
        <v>660</v>
      </c>
      <c r="M227" s="258">
        <v>666</v>
      </c>
      <c r="N227" s="258">
        <v>646</v>
      </c>
      <c r="O227" s="258">
        <v>579</v>
      </c>
      <c r="P227" s="258">
        <v>375</v>
      </c>
      <c r="Q227" s="223" t="s">
        <v>1</v>
      </c>
    </row>
    <row r="228" spans="1:17" ht="10.8" customHeight="1">
      <c r="A228" s="315"/>
      <c r="B228" s="185" t="s">
        <v>7</v>
      </c>
      <c r="C228" s="307">
        <v>259</v>
      </c>
      <c r="D228" s="259">
        <v>380</v>
      </c>
      <c r="E228" s="259">
        <v>457</v>
      </c>
      <c r="F228" s="259">
        <v>582</v>
      </c>
      <c r="G228" s="259">
        <v>602</v>
      </c>
      <c r="H228" s="259">
        <v>752</v>
      </c>
      <c r="I228" s="259">
        <v>863</v>
      </c>
      <c r="J228" s="259">
        <v>1061</v>
      </c>
      <c r="K228" s="259">
        <v>1258</v>
      </c>
      <c r="L228" s="259">
        <v>1341</v>
      </c>
      <c r="M228" s="259">
        <v>1518</v>
      </c>
      <c r="N228" s="259">
        <v>1622</v>
      </c>
      <c r="O228" s="259">
        <v>1666</v>
      </c>
      <c r="P228" s="259">
        <v>1591</v>
      </c>
      <c r="Q228" s="225" t="s">
        <v>1</v>
      </c>
    </row>
    <row r="229" spans="1:17" ht="10.5" customHeight="1">
      <c r="A229" s="300" t="s">
        <v>552</v>
      </c>
      <c r="B229" s="184" t="s">
        <v>2</v>
      </c>
      <c r="C229" s="318">
        <v>54</v>
      </c>
      <c r="D229" s="262">
        <v>66.099999999999994</v>
      </c>
      <c r="E229" s="262">
        <v>78.900000000000006</v>
      </c>
      <c r="F229" s="262">
        <v>82.3</v>
      </c>
      <c r="G229" s="262">
        <v>92.6</v>
      </c>
      <c r="H229" s="237">
        <v>101</v>
      </c>
      <c r="I229" s="262">
        <v>95</v>
      </c>
      <c r="J229" s="237">
        <v>115</v>
      </c>
      <c r="K229" s="85" t="s">
        <v>21</v>
      </c>
      <c r="L229" s="85" t="s">
        <v>21</v>
      </c>
      <c r="M229" s="85" t="s">
        <v>21</v>
      </c>
      <c r="N229" s="85" t="s">
        <v>21</v>
      </c>
      <c r="O229" s="85" t="s">
        <v>21</v>
      </c>
      <c r="P229" s="85" t="s">
        <v>21</v>
      </c>
      <c r="Q229" s="221" t="s">
        <v>21</v>
      </c>
    </row>
    <row r="230" spans="1:17" ht="9" customHeight="1">
      <c r="A230" s="314"/>
      <c r="B230" s="2" t="s">
        <v>3</v>
      </c>
      <c r="C230" s="304">
        <v>136</v>
      </c>
      <c r="D230" s="258">
        <v>187</v>
      </c>
      <c r="E230" s="258">
        <v>227</v>
      </c>
      <c r="F230" s="258">
        <v>290</v>
      </c>
      <c r="G230" s="258">
        <v>350</v>
      </c>
      <c r="H230" s="258">
        <v>370</v>
      </c>
      <c r="I230" s="258">
        <v>406</v>
      </c>
      <c r="J230" s="258">
        <v>578</v>
      </c>
      <c r="K230" s="258">
        <v>691</v>
      </c>
      <c r="L230" s="258">
        <v>846</v>
      </c>
      <c r="M230" s="258">
        <v>952</v>
      </c>
      <c r="N230" s="258">
        <v>1056</v>
      </c>
      <c r="O230" s="258">
        <v>1085</v>
      </c>
      <c r="P230" s="258">
        <v>1069</v>
      </c>
      <c r="Q230" s="310">
        <v>1044</v>
      </c>
    </row>
    <row r="231" spans="1:17" ht="9.3000000000000007" customHeight="1">
      <c r="A231" s="314"/>
      <c r="B231" s="2" t="s">
        <v>5</v>
      </c>
      <c r="C231" s="304">
        <v>163</v>
      </c>
      <c r="D231" s="258">
        <v>244</v>
      </c>
      <c r="E231" s="258">
        <v>313</v>
      </c>
      <c r="F231" s="258">
        <v>356</v>
      </c>
      <c r="G231" s="258">
        <v>344</v>
      </c>
      <c r="H231" s="258">
        <v>464</v>
      </c>
      <c r="I231" s="258">
        <v>558</v>
      </c>
      <c r="J231" s="258">
        <v>640</v>
      </c>
      <c r="K231" s="258">
        <v>733</v>
      </c>
      <c r="L231" s="258">
        <v>672</v>
      </c>
      <c r="M231" s="258">
        <v>704</v>
      </c>
      <c r="N231" s="258">
        <v>687</v>
      </c>
      <c r="O231" s="258">
        <v>663</v>
      </c>
      <c r="P231" s="258">
        <v>500</v>
      </c>
      <c r="Q231" s="310">
        <v>401</v>
      </c>
    </row>
    <row r="232" spans="1:17" ht="10.8" customHeight="1">
      <c r="A232" s="315"/>
      <c r="B232" s="185" t="s">
        <v>7</v>
      </c>
      <c r="C232" s="307">
        <v>236</v>
      </c>
      <c r="D232" s="259">
        <v>349</v>
      </c>
      <c r="E232" s="259">
        <v>440</v>
      </c>
      <c r="F232" s="259">
        <v>538</v>
      </c>
      <c r="G232" s="259">
        <v>573</v>
      </c>
      <c r="H232" s="259">
        <v>697</v>
      </c>
      <c r="I232" s="259">
        <v>822</v>
      </c>
      <c r="J232" s="259">
        <v>1039</v>
      </c>
      <c r="K232" s="259">
        <v>1233</v>
      </c>
      <c r="L232" s="259">
        <v>1323</v>
      </c>
      <c r="M232" s="259">
        <v>1518</v>
      </c>
      <c r="N232" s="259">
        <v>1589</v>
      </c>
      <c r="O232" s="259">
        <v>1667</v>
      </c>
      <c r="P232" s="259">
        <v>1603</v>
      </c>
      <c r="Q232" s="309">
        <v>1624</v>
      </c>
    </row>
    <row r="233" spans="1:17" ht="10.5" customHeight="1">
      <c r="A233" s="300">
        <v>8</v>
      </c>
      <c r="B233" s="184" t="s">
        <v>2</v>
      </c>
      <c r="C233" s="318">
        <v>51.2</v>
      </c>
      <c r="D233" s="262">
        <v>63.7</v>
      </c>
      <c r="E233" s="262">
        <v>79</v>
      </c>
      <c r="F233" s="262">
        <v>84.3</v>
      </c>
      <c r="G233" s="262">
        <v>97.2</v>
      </c>
      <c r="H233" s="237">
        <v>103</v>
      </c>
      <c r="I233" s="237">
        <v>105</v>
      </c>
      <c r="J233" s="237">
        <v>124</v>
      </c>
      <c r="K233" s="237">
        <v>135</v>
      </c>
      <c r="L233" s="85" t="s">
        <v>21</v>
      </c>
      <c r="M233" s="85" t="s">
        <v>21</v>
      </c>
      <c r="N233" s="85" t="s">
        <v>21</v>
      </c>
      <c r="O233" s="85" t="s">
        <v>21</v>
      </c>
      <c r="P233" s="85" t="s">
        <v>21</v>
      </c>
      <c r="Q233" s="221" t="s">
        <v>21</v>
      </c>
    </row>
    <row r="234" spans="1:17" ht="9" customHeight="1">
      <c r="A234" s="314"/>
      <c r="B234" s="2" t="s">
        <v>3</v>
      </c>
      <c r="C234" s="304">
        <v>128</v>
      </c>
      <c r="D234" s="258">
        <v>177</v>
      </c>
      <c r="E234" s="258">
        <v>215</v>
      </c>
      <c r="F234" s="258">
        <v>281</v>
      </c>
      <c r="G234" s="258">
        <v>332</v>
      </c>
      <c r="H234" s="258">
        <v>353</v>
      </c>
      <c r="I234" s="258">
        <v>390</v>
      </c>
      <c r="J234" s="258">
        <v>536</v>
      </c>
      <c r="K234" s="258">
        <v>648</v>
      </c>
      <c r="L234" s="258">
        <v>790</v>
      </c>
      <c r="M234" s="258">
        <v>915</v>
      </c>
      <c r="N234" s="258">
        <v>1014</v>
      </c>
      <c r="O234" s="258">
        <v>1094</v>
      </c>
      <c r="P234" s="258">
        <v>1060</v>
      </c>
      <c r="Q234" s="310">
        <v>1107</v>
      </c>
    </row>
    <row r="235" spans="1:17" ht="9.3000000000000007" customHeight="1">
      <c r="A235" s="314"/>
      <c r="B235" s="2" t="s">
        <v>5</v>
      </c>
      <c r="C235" s="304">
        <v>150</v>
      </c>
      <c r="D235" s="258">
        <v>225</v>
      </c>
      <c r="E235" s="258">
        <v>298</v>
      </c>
      <c r="F235" s="258">
        <v>336</v>
      </c>
      <c r="G235" s="258">
        <v>330</v>
      </c>
      <c r="H235" s="258">
        <v>431</v>
      </c>
      <c r="I235" s="258">
        <v>536</v>
      </c>
      <c r="J235" s="258">
        <v>602</v>
      </c>
      <c r="K235" s="258">
        <v>695</v>
      </c>
      <c r="L235" s="258">
        <v>648</v>
      </c>
      <c r="M235" s="258">
        <v>705</v>
      </c>
      <c r="N235" s="258">
        <v>693</v>
      </c>
      <c r="O235" s="258">
        <v>705</v>
      </c>
      <c r="P235" s="258">
        <v>569</v>
      </c>
      <c r="Q235" s="310">
        <v>524</v>
      </c>
    </row>
    <row r="236" spans="1:17" ht="10.8" customHeight="1">
      <c r="A236" s="315"/>
      <c r="B236" s="185" t="s">
        <v>7</v>
      </c>
      <c r="C236" s="307">
        <v>218</v>
      </c>
      <c r="D236" s="259">
        <v>323</v>
      </c>
      <c r="E236" s="259">
        <v>417</v>
      </c>
      <c r="F236" s="259">
        <v>509</v>
      </c>
      <c r="G236" s="259">
        <v>539</v>
      </c>
      <c r="H236" s="259">
        <v>649</v>
      </c>
      <c r="I236" s="259">
        <v>780</v>
      </c>
      <c r="J236" s="259">
        <v>959</v>
      </c>
      <c r="K236" s="259">
        <v>1139</v>
      </c>
      <c r="L236" s="259">
        <v>1230</v>
      </c>
      <c r="M236" s="259">
        <v>1415</v>
      </c>
      <c r="N236" s="259">
        <v>1494</v>
      </c>
      <c r="O236" s="259">
        <v>1628</v>
      </c>
      <c r="P236" s="259">
        <v>1552</v>
      </c>
      <c r="Q236" s="309">
        <v>1655</v>
      </c>
    </row>
    <row r="237" spans="1:17" ht="10.5" customHeight="1">
      <c r="A237" s="300">
        <v>9</v>
      </c>
      <c r="B237" s="184" t="s">
        <v>2</v>
      </c>
      <c r="C237" s="318">
        <v>49.1</v>
      </c>
      <c r="D237" s="262">
        <v>61.5</v>
      </c>
      <c r="E237" s="262">
        <v>76.099999999999994</v>
      </c>
      <c r="F237" s="262">
        <v>82.7</v>
      </c>
      <c r="G237" s="262">
        <v>96.5</v>
      </c>
      <c r="H237" s="237">
        <v>104</v>
      </c>
      <c r="I237" s="237">
        <v>109</v>
      </c>
      <c r="J237" s="237">
        <v>128</v>
      </c>
      <c r="K237" s="237">
        <v>149</v>
      </c>
      <c r="L237" s="237">
        <v>143</v>
      </c>
      <c r="M237" s="85" t="s">
        <v>21</v>
      </c>
      <c r="N237" s="85" t="s">
        <v>21</v>
      </c>
      <c r="O237" s="85" t="s">
        <v>21</v>
      </c>
      <c r="P237" s="85" t="s">
        <v>21</v>
      </c>
      <c r="Q237" s="221" t="s">
        <v>21</v>
      </c>
    </row>
    <row r="238" spans="1:17" ht="9" customHeight="1">
      <c r="A238" s="314"/>
      <c r="B238" s="2" t="s">
        <v>3</v>
      </c>
      <c r="C238" s="304">
        <v>120</v>
      </c>
      <c r="D238" s="258">
        <v>165</v>
      </c>
      <c r="E238" s="258">
        <v>202</v>
      </c>
      <c r="F238" s="258">
        <v>269</v>
      </c>
      <c r="G238" s="258">
        <v>314</v>
      </c>
      <c r="H238" s="258">
        <v>339</v>
      </c>
      <c r="I238" s="258">
        <v>371</v>
      </c>
      <c r="J238" s="258">
        <v>517</v>
      </c>
      <c r="K238" s="258">
        <v>639</v>
      </c>
      <c r="L238" s="258">
        <v>761</v>
      </c>
      <c r="M238" s="258">
        <v>912</v>
      </c>
      <c r="N238" s="258">
        <v>991</v>
      </c>
      <c r="O238" s="258">
        <v>1048</v>
      </c>
      <c r="P238" s="258">
        <v>1050</v>
      </c>
      <c r="Q238" s="310">
        <v>1108</v>
      </c>
    </row>
    <row r="239" spans="1:17" ht="9.3000000000000007" customHeight="1">
      <c r="A239" s="314"/>
      <c r="B239" s="2" t="s">
        <v>5</v>
      </c>
      <c r="C239" s="304">
        <v>137</v>
      </c>
      <c r="D239" s="258">
        <v>203</v>
      </c>
      <c r="E239" s="258">
        <v>283</v>
      </c>
      <c r="F239" s="258">
        <v>315</v>
      </c>
      <c r="G239" s="258">
        <v>315</v>
      </c>
      <c r="H239" s="258">
        <v>407</v>
      </c>
      <c r="I239" s="258">
        <v>514</v>
      </c>
      <c r="J239" s="258">
        <v>584</v>
      </c>
      <c r="K239" s="258">
        <v>689</v>
      </c>
      <c r="L239" s="258">
        <v>632</v>
      </c>
      <c r="M239" s="258">
        <v>717</v>
      </c>
      <c r="N239" s="258">
        <v>691</v>
      </c>
      <c r="O239" s="258">
        <v>716</v>
      </c>
      <c r="P239" s="258">
        <v>591</v>
      </c>
      <c r="Q239" s="310">
        <v>593</v>
      </c>
    </row>
    <row r="240" spans="1:17" ht="10.8" customHeight="1">
      <c r="A240" s="315"/>
      <c r="B240" s="185" t="s">
        <v>7</v>
      </c>
      <c r="C240" s="307">
        <v>200</v>
      </c>
      <c r="D240" s="259">
        <v>295</v>
      </c>
      <c r="E240" s="259">
        <v>392</v>
      </c>
      <c r="F240" s="259">
        <v>479</v>
      </c>
      <c r="G240" s="259">
        <v>510</v>
      </c>
      <c r="H240" s="259">
        <v>614</v>
      </c>
      <c r="I240" s="259">
        <v>739</v>
      </c>
      <c r="J240" s="259">
        <v>922</v>
      </c>
      <c r="K240" s="259">
        <v>1115</v>
      </c>
      <c r="L240" s="259">
        <v>1182</v>
      </c>
      <c r="M240" s="259">
        <v>1397</v>
      </c>
      <c r="N240" s="259">
        <v>1446</v>
      </c>
      <c r="O240" s="259">
        <v>1527</v>
      </c>
      <c r="P240" s="259">
        <v>1527</v>
      </c>
      <c r="Q240" s="309">
        <v>1599</v>
      </c>
    </row>
    <row r="241" spans="1:17" ht="10.5" customHeight="1">
      <c r="A241" s="300">
        <v>10</v>
      </c>
      <c r="B241" s="184" t="s">
        <v>2</v>
      </c>
      <c r="C241" s="318">
        <v>41.8</v>
      </c>
      <c r="D241" s="262">
        <v>57.7</v>
      </c>
      <c r="E241" s="262">
        <v>72.8</v>
      </c>
      <c r="F241" s="262">
        <v>79.7</v>
      </c>
      <c r="G241" s="262">
        <v>95.3</v>
      </c>
      <c r="H241" s="237">
        <v>102</v>
      </c>
      <c r="I241" s="237">
        <v>111</v>
      </c>
      <c r="J241" s="237">
        <v>131</v>
      </c>
      <c r="K241" s="237">
        <v>156</v>
      </c>
      <c r="L241" s="237">
        <v>153</v>
      </c>
      <c r="M241" s="237">
        <v>170</v>
      </c>
      <c r="N241" s="85" t="s">
        <v>21</v>
      </c>
      <c r="O241" s="85" t="s">
        <v>21</v>
      </c>
      <c r="P241" s="85" t="s">
        <v>21</v>
      </c>
      <c r="Q241" s="221" t="s">
        <v>21</v>
      </c>
    </row>
    <row r="242" spans="1:17" ht="9" customHeight="1">
      <c r="A242" s="314"/>
      <c r="B242" s="2" t="s">
        <v>3</v>
      </c>
      <c r="C242" s="304">
        <v>100</v>
      </c>
      <c r="D242" s="258">
        <v>152</v>
      </c>
      <c r="E242" s="258">
        <v>191</v>
      </c>
      <c r="F242" s="258">
        <v>251</v>
      </c>
      <c r="G242" s="258">
        <v>297</v>
      </c>
      <c r="H242" s="258">
        <v>319</v>
      </c>
      <c r="I242" s="258">
        <v>354</v>
      </c>
      <c r="J242" s="258">
        <v>488</v>
      </c>
      <c r="K242" s="258">
        <v>592</v>
      </c>
      <c r="L242" s="258">
        <v>723</v>
      </c>
      <c r="M242" s="258">
        <v>851</v>
      </c>
      <c r="N242" s="258">
        <v>943</v>
      </c>
      <c r="O242" s="258">
        <v>1023</v>
      </c>
      <c r="P242" s="258">
        <v>1033</v>
      </c>
      <c r="Q242" s="310">
        <v>1097</v>
      </c>
    </row>
    <row r="243" spans="1:17" ht="9.3000000000000007" customHeight="1">
      <c r="A243" s="314"/>
      <c r="B243" s="2" t="s">
        <v>5</v>
      </c>
      <c r="C243" s="304">
        <v>107</v>
      </c>
      <c r="D243" s="258">
        <v>179</v>
      </c>
      <c r="E243" s="258">
        <v>267</v>
      </c>
      <c r="F243" s="258">
        <v>287</v>
      </c>
      <c r="G243" s="258">
        <v>302</v>
      </c>
      <c r="H243" s="258">
        <v>372</v>
      </c>
      <c r="I243" s="258">
        <v>493</v>
      </c>
      <c r="J243" s="258">
        <v>557</v>
      </c>
      <c r="K243" s="258">
        <v>645</v>
      </c>
      <c r="L243" s="258">
        <v>611</v>
      </c>
      <c r="M243" s="258">
        <v>688</v>
      </c>
      <c r="N243" s="258">
        <v>682</v>
      </c>
      <c r="O243" s="258">
        <v>715</v>
      </c>
      <c r="P243" s="258">
        <v>614</v>
      </c>
      <c r="Q243" s="310">
        <v>614</v>
      </c>
    </row>
    <row r="244" spans="1:17" ht="10.8" customHeight="1">
      <c r="A244" s="315"/>
      <c r="B244" s="185" t="s">
        <v>7</v>
      </c>
      <c r="C244" s="307">
        <v>160</v>
      </c>
      <c r="D244" s="259">
        <v>263</v>
      </c>
      <c r="E244" s="259">
        <v>369</v>
      </c>
      <c r="F244" s="259">
        <v>438</v>
      </c>
      <c r="G244" s="259">
        <v>483</v>
      </c>
      <c r="H244" s="259">
        <v>565</v>
      </c>
      <c r="I244" s="259">
        <v>703</v>
      </c>
      <c r="J244" s="259">
        <v>870</v>
      </c>
      <c r="K244" s="259">
        <v>1027</v>
      </c>
      <c r="L244" s="259">
        <v>1120</v>
      </c>
      <c r="M244" s="259">
        <v>1296</v>
      </c>
      <c r="N244" s="259">
        <v>1370</v>
      </c>
      <c r="O244" s="259">
        <v>1476</v>
      </c>
      <c r="P244" s="259">
        <v>1472</v>
      </c>
      <c r="Q244" s="309">
        <v>1567</v>
      </c>
    </row>
    <row r="245" spans="1:17" ht="10.5" customHeight="1">
      <c r="A245" s="300" t="s">
        <v>555</v>
      </c>
      <c r="B245" s="184" t="s">
        <v>2</v>
      </c>
      <c r="C245" s="318">
        <v>40.700000000000003</v>
      </c>
      <c r="D245" s="262">
        <v>52.4</v>
      </c>
      <c r="E245" s="262">
        <v>69.8</v>
      </c>
      <c r="F245" s="262">
        <v>73.099999999999994</v>
      </c>
      <c r="G245" s="262">
        <v>93.1</v>
      </c>
      <c r="H245" s="262">
        <v>93.2</v>
      </c>
      <c r="I245" s="237">
        <v>110</v>
      </c>
      <c r="J245" s="237">
        <v>125</v>
      </c>
      <c r="K245" s="237">
        <v>158</v>
      </c>
      <c r="L245" s="237">
        <v>150</v>
      </c>
      <c r="M245" s="237">
        <v>176</v>
      </c>
      <c r="N245" s="85" t="s">
        <v>21</v>
      </c>
      <c r="O245" s="85" t="s">
        <v>21</v>
      </c>
      <c r="P245" s="85" t="s">
        <v>21</v>
      </c>
      <c r="Q245" s="221" t="s">
        <v>21</v>
      </c>
    </row>
    <row r="246" spans="1:17" ht="9" customHeight="1">
      <c r="A246" s="314"/>
      <c r="B246" s="2" t="s">
        <v>3</v>
      </c>
      <c r="C246" s="304">
        <v>96</v>
      </c>
      <c r="D246" s="258">
        <v>136</v>
      </c>
      <c r="E246" s="258">
        <v>178</v>
      </c>
      <c r="F246" s="258">
        <v>225</v>
      </c>
      <c r="G246" s="258">
        <v>284</v>
      </c>
      <c r="H246" s="258">
        <v>284</v>
      </c>
      <c r="I246" s="258">
        <v>340</v>
      </c>
      <c r="J246" s="258">
        <v>438</v>
      </c>
      <c r="K246" s="258">
        <v>569</v>
      </c>
      <c r="L246" s="258">
        <v>654</v>
      </c>
      <c r="M246" s="258">
        <v>817</v>
      </c>
      <c r="N246" s="258">
        <v>855</v>
      </c>
      <c r="O246" s="258">
        <v>973</v>
      </c>
      <c r="P246" s="258">
        <v>949</v>
      </c>
      <c r="Q246" s="310">
        <v>1076</v>
      </c>
    </row>
    <row r="247" spans="1:17" ht="9.3000000000000007" customHeight="1">
      <c r="A247" s="314"/>
      <c r="B247" s="2" t="s">
        <v>5</v>
      </c>
      <c r="C247" s="304">
        <v>102</v>
      </c>
      <c r="D247" s="258">
        <v>156</v>
      </c>
      <c r="E247" s="258">
        <v>254</v>
      </c>
      <c r="F247" s="258">
        <v>251</v>
      </c>
      <c r="G247" s="258">
        <v>291</v>
      </c>
      <c r="H247" s="258">
        <v>321</v>
      </c>
      <c r="I247" s="258">
        <v>475</v>
      </c>
      <c r="J247" s="258">
        <v>503</v>
      </c>
      <c r="K247" s="258">
        <v>625</v>
      </c>
      <c r="L247" s="258">
        <v>562</v>
      </c>
      <c r="M247" s="258">
        <v>669</v>
      </c>
      <c r="N247" s="258">
        <v>633</v>
      </c>
      <c r="O247" s="258">
        <v>702</v>
      </c>
      <c r="P247" s="258">
        <v>585</v>
      </c>
      <c r="Q247" s="310">
        <v>637</v>
      </c>
    </row>
    <row r="248" spans="1:17" ht="10.8" customHeight="1">
      <c r="A248" s="315"/>
      <c r="B248" s="185" t="s">
        <v>7</v>
      </c>
      <c r="C248" s="307">
        <v>152</v>
      </c>
      <c r="D248" s="259">
        <v>230</v>
      </c>
      <c r="E248" s="259">
        <v>348</v>
      </c>
      <c r="F248" s="259">
        <v>385</v>
      </c>
      <c r="G248" s="259">
        <v>462</v>
      </c>
      <c r="H248" s="259">
        <v>491</v>
      </c>
      <c r="I248" s="259">
        <v>675</v>
      </c>
      <c r="J248" s="259">
        <v>780</v>
      </c>
      <c r="K248" s="259">
        <v>986</v>
      </c>
      <c r="L248" s="259">
        <v>1013</v>
      </c>
      <c r="M248" s="259">
        <v>1243</v>
      </c>
      <c r="N248" s="259">
        <v>1243</v>
      </c>
      <c r="O248" s="259">
        <v>1397</v>
      </c>
      <c r="P248" s="259">
        <v>1341</v>
      </c>
      <c r="Q248" s="309">
        <v>1506</v>
      </c>
    </row>
    <row r="249" spans="1:17" ht="10.5" customHeight="1">
      <c r="A249" s="300" t="s">
        <v>554</v>
      </c>
      <c r="B249" s="184" t="s">
        <v>2</v>
      </c>
      <c r="C249" s="318">
        <v>43.5</v>
      </c>
      <c r="D249" s="262">
        <v>56.8</v>
      </c>
      <c r="E249" s="262">
        <v>65.2</v>
      </c>
      <c r="F249" s="262">
        <v>84.2</v>
      </c>
      <c r="G249" s="262">
        <v>89.4</v>
      </c>
      <c r="H249" s="237">
        <v>111</v>
      </c>
      <c r="I249" s="237">
        <v>108</v>
      </c>
      <c r="J249" s="237">
        <v>171</v>
      </c>
      <c r="K249" s="237">
        <v>161</v>
      </c>
      <c r="L249" s="237">
        <v>230</v>
      </c>
      <c r="M249" s="237">
        <v>185</v>
      </c>
      <c r="N249" s="237">
        <v>259</v>
      </c>
      <c r="O249" s="85" t="s">
        <v>21</v>
      </c>
      <c r="P249" s="85" t="s">
        <v>21</v>
      </c>
      <c r="Q249" s="221" t="s">
        <v>21</v>
      </c>
    </row>
    <row r="250" spans="1:17" ht="9" customHeight="1">
      <c r="A250" s="314"/>
      <c r="B250" s="2" t="s">
        <v>3</v>
      </c>
      <c r="C250" s="304">
        <v>97</v>
      </c>
      <c r="D250" s="258">
        <v>136</v>
      </c>
      <c r="E250" s="258">
        <v>163</v>
      </c>
      <c r="F250" s="258">
        <v>229</v>
      </c>
      <c r="G250" s="258">
        <v>265</v>
      </c>
      <c r="H250" s="258">
        <v>300</v>
      </c>
      <c r="I250" s="258">
        <v>320</v>
      </c>
      <c r="J250" s="258">
        <v>480</v>
      </c>
      <c r="K250" s="258">
        <v>538</v>
      </c>
      <c r="L250" s="258">
        <v>726</v>
      </c>
      <c r="M250" s="258">
        <v>776</v>
      </c>
      <c r="N250" s="258">
        <v>936</v>
      </c>
      <c r="O250" s="258">
        <v>880</v>
      </c>
      <c r="P250" s="258">
        <v>1068</v>
      </c>
      <c r="Q250" s="310">
        <v>985</v>
      </c>
    </row>
    <row r="251" spans="1:17" ht="9.3000000000000007" customHeight="1">
      <c r="A251" s="314"/>
      <c r="B251" s="2" t="s">
        <v>5</v>
      </c>
      <c r="C251" s="304">
        <v>102</v>
      </c>
      <c r="D251" s="258">
        <v>154</v>
      </c>
      <c r="E251" s="258">
        <v>236</v>
      </c>
      <c r="F251" s="258">
        <v>252</v>
      </c>
      <c r="G251" s="258">
        <v>275</v>
      </c>
      <c r="H251" s="258">
        <v>337</v>
      </c>
      <c r="I251" s="258">
        <v>444</v>
      </c>
      <c r="J251" s="258">
        <v>547</v>
      </c>
      <c r="K251" s="258">
        <v>595</v>
      </c>
      <c r="L251" s="258">
        <v>637</v>
      </c>
      <c r="M251" s="258">
        <v>646</v>
      </c>
      <c r="N251" s="258">
        <v>719</v>
      </c>
      <c r="O251" s="258">
        <v>650</v>
      </c>
      <c r="P251" s="258">
        <v>722</v>
      </c>
      <c r="Q251" s="310">
        <v>612</v>
      </c>
    </row>
    <row r="252" spans="1:17" ht="10.8" customHeight="1">
      <c r="A252" s="315"/>
      <c r="B252" s="185" t="s">
        <v>7</v>
      </c>
      <c r="C252" s="307">
        <v>150</v>
      </c>
      <c r="D252" s="259">
        <v>225</v>
      </c>
      <c r="E252" s="259">
        <v>321</v>
      </c>
      <c r="F252" s="259">
        <v>381</v>
      </c>
      <c r="G252" s="259">
        <v>433</v>
      </c>
      <c r="H252" s="259">
        <v>505</v>
      </c>
      <c r="I252" s="259">
        <v>629</v>
      </c>
      <c r="J252" s="259">
        <v>821</v>
      </c>
      <c r="K252" s="259">
        <v>928</v>
      </c>
      <c r="L252" s="259">
        <v>1088</v>
      </c>
      <c r="M252" s="259">
        <v>1178</v>
      </c>
      <c r="N252" s="259">
        <v>1321</v>
      </c>
      <c r="O252" s="259">
        <v>1266</v>
      </c>
      <c r="P252" s="259">
        <v>1457</v>
      </c>
      <c r="Q252" s="309">
        <v>1373</v>
      </c>
    </row>
    <row r="253" spans="1:17" ht="10.5" customHeight="1">
      <c r="A253" s="300">
        <v>14</v>
      </c>
      <c r="B253" s="184" t="s">
        <v>2</v>
      </c>
      <c r="C253" s="318">
        <v>39.4</v>
      </c>
      <c r="D253" s="262">
        <v>51.1</v>
      </c>
      <c r="E253" s="262">
        <v>59.1</v>
      </c>
      <c r="F253" s="262">
        <v>76.3</v>
      </c>
      <c r="G253" s="262">
        <v>81.900000000000006</v>
      </c>
      <c r="H253" s="237">
        <v>102</v>
      </c>
      <c r="I253" s="237">
        <v>99</v>
      </c>
      <c r="J253" s="237">
        <v>157</v>
      </c>
      <c r="K253" s="237">
        <v>150</v>
      </c>
      <c r="L253" s="237">
        <v>215</v>
      </c>
      <c r="M253" s="237">
        <v>178</v>
      </c>
      <c r="N253" s="237">
        <v>253</v>
      </c>
      <c r="O253" s="237">
        <v>278</v>
      </c>
      <c r="P253" s="237">
        <v>245</v>
      </c>
      <c r="Q253" s="316">
        <v>265</v>
      </c>
    </row>
    <row r="254" spans="1:17" ht="9" customHeight="1">
      <c r="A254" s="314"/>
      <c r="B254" s="2" t="s">
        <v>3</v>
      </c>
      <c r="C254" s="319">
        <v>86.5</v>
      </c>
      <c r="D254" s="258">
        <v>120</v>
      </c>
      <c r="E254" s="258">
        <v>146</v>
      </c>
      <c r="F254" s="258">
        <v>203</v>
      </c>
      <c r="G254" s="258">
        <v>238</v>
      </c>
      <c r="H254" s="258">
        <v>268</v>
      </c>
      <c r="I254" s="258">
        <v>286</v>
      </c>
      <c r="J254" s="258">
        <v>429</v>
      </c>
      <c r="K254" s="258">
        <v>481</v>
      </c>
      <c r="L254" s="258">
        <v>652</v>
      </c>
      <c r="M254" s="258">
        <v>701</v>
      </c>
      <c r="N254" s="258">
        <v>840</v>
      </c>
      <c r="O254" s="258">
        <v>960</v>
      </c>
      <c r="P254" s="258">
        <v>967</v>
      </c>
      <c r="Q254" s="310">
        <v>1101</v>
      </c>
    </row>
    <row r="255" spans="1:17" ht="9.3000000000000007" customHeight="1">
      <c r="A255" s="314"/>
      <c r="B255" s="2" t="s">
        <v>5</v>
      </c>
      <c r="C255" s="319">
        <v>89.6</v>
      </c>
      <c r="D255" s="258">
        <v>133</v>
      </c>
      <c r="E255" s="258">
        <v>205</v>
      </c>
      <c r="F255" s="258">
        <v>218</v>
      </c>
      <c r="G255" s="258">
        <v>249</v>
      </c>
      <c r="H255" s="258">
        <v>294</v>
      </c>
      <c r="I255" s="258">
        <v>384</v>
      </c>
      <c r="J255" s="258">
        <v>476</v>
      </c>
      <c r="K255" s="258">
        <v>539</v>
      </c>
      <c r="L255" s="258">
        <v>580</v>
      </c>
      <c r="M255" s="258">
        <v>593</v>
      </c>
      <c r="N255" s="258">
        <v>658</v>
      </c>
      <c r="O255" s="258">
        <v>734</v>
      </c>
      <c r="P255" s="258">
        <v>672</v>
      </c>
      <c r="Q255" s="310">
        <v>740</v>
      </c>
    </row>
    <row r="256" spans="1:17" ht="10.8" customHeight="1">
      <c r="A256" s="387"/>
      <c r="B256" s="393" t="s">
        <v>7</v>
      </c>
      <c r="C256" s="370">
        <v>133</v>
      </c>
      <c r="D256" s="371">
        <v>195</v>
      </c>
      <c r="E256" s="371">
        <v>281</v>
      </c>
      <c r="F256" s="371">
        <v>331</v>
      </c>
      <c r="G256" s="371">
        <v>389</v>
      </c>
      <c r="H256" s="371">
        <v>443</v>
      </c>
      <c r="I256" s="371">
        <v>548</v>
      </c>
      <c r="J256" s="371">
        <v>717</v>
      </c>
      <c r="K256" s="371">
        <v>833</v>
      </c>
      <c r="L256" s="371">
        <v>976</v>
      </c>
      <c r="M256" s="371">
        <v>1064</v>
      </c>
      <c r="N256" s="371">
        <v>1187</v>
      </c>
      <c r="O256" s="371">
        <v>1346</v>
      </c>
      <c r="P256" s="371">
        <v>1318</v>
      </c>
      <c r="Q256" s="372">
        <v>1485</v>
      </c>
    </row>
    <row r="294" spans="1:18" ht="40.799999999999997" customHeight="1">
      <c r="A294" s="449" t="s">
        <v>349</v>
      </c>
      <c r="B294" s="449"/>
      <c r="C294" s="449"/>
      <c r="D294" s="449"/>
      <c r="E294" s="449"/>
      <c r="F294" s="449"/>
      <c r="G294" s="449"/>
      <c r="H294" s="449"/>
      <c r="I294" s="449"/>
      <c r="J294" s="449"/>
      <c r="K294" s="449"/>
      <c r="L294" s="449"/>
      <c r="M294" s="449"/>
      <c r="N294" s="449"/>
      <c r="O294" s="449"/>
      <c r="P294" s="449"/>
      <c r="Q294" s="449"/>
      <c r="R294" s="449"/>
    </row>
    <row r="295" spans="1:18" ht="12.3" customHeight="1">
      <c r="A295" s="450" t="s">
        <v>69</v>
      </c>
      <c r="B295" s="451"/>
      <c r="C295" s="454" t="s">
        <v>14</v>
      </c>
      <c r="D295" s="455"/>
      <c r="E295" s="455"/>
      <c r="F295" s="455"/>
      <c r="G295" s="455"/>
      <c r="H295" s="455"/>
      <c r="I295" s="455"/>
      <c r="J295" s="455"/>
      <c r="K295" s="455"/>
      <c r="L295" s="455"/>
      <c r="M295" s="455"/>
      <c r="N295" s="455"/>
      <c r="O295" s="455"/>
      <c r="P295" s="455"/>
      <c r="Q295" s="455"/>
    </row>
    <row r="296" spans="1:18" ht="9" customHeight="1">
      <c r="A296" s="452"/>
      <c r="B296" s="453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4">
        <v>18</v>
      </c>
    </row>
    <row r="297" spans="1:18" ht="10.5" customHeight="1">
      <c r="A297" s="300">
        <v>5</v>
      </c>
      <c r="B297" s="184" t="s">
        <v>2</v>
      </c>
      <c r="C297" s="318">
        <v>48.7</v>
      </c>
      <c r="D297" s="85" t="s">
        <v>21</v>
      </c>
      <c r="E297" s="85" t="s">
        <v>1</v>
      </c>
      <c r="F297" s="85" t="s">
        <v>21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1</v>
      </c>
      <c r="Q297" s="221" t="s">
        <v>1</v>
      </c>
    </row>
    <row r="298" spans="1:18" ht="9" customHeight="1">
      <c r="A298" s="314"/>
      <c r="B298" s="2" t="s">
        <v>3</v>
      </c>
      <c r="C298" s="304">
        <v>177</v>
      </c>
      <c r="D298" s="258">
        <v>239</v>
      </c>
      <c r="E298" s="146" t="s">
        <v>1</v>
      </c>
      <c r="F298" s="258">
        <v>374</v>
      </c>
      <c r="G298" s="146" t="s">
        <v>1</v>
      </c>
      <c r="H298" s="258">
        <v>439</v>
      </c>
      <c r="I298" s="146" t="s">
        <v>1</v>
      </c>
      <c r="J298" s="258">
        <v>583</v>
      </c>
      <c r="K298" s="146" t="s">
        <v>1</v>
      </c>
      <c r="L298" s="258">
        <v>764</v>
      </c>
      <c r="M298" s="146" t="s">
        <v>1</v>
      </c>
      <c r="N298" s="258">
        <v>662</v>
      </c>
      <c r="O298" s="146" t="s">
        <v>1</v>
      </c>
      <c r="P298" s="146" t="s">
        <v>1</v>
      </c>
      <c r="Q298" s="223" t="s">
        <v>1</v>
      </c>
    </row>
    <row r="299" spans="1:18" ht="9.3000000000000007" customHeight="1">
      <c r="A299" s="314"/>
      <c r="B299" s="2" t="s">
        <v>5</v>
      </c>
      <c r="C299" s="304">
        <v>218</v>
      </c>
      <c r="D299" s="258">
        <v>332</v>
      </c>
      <c r="E299" s="146" t="s">
        <v>1</v>
      </c>
      <c r="F299" s="258">
        <v>507</v>
      </c>
      <c r="G299" s="146" t="s">
        <v>1</v>
      </c>
      <c r="H299" s="258">
        <v>575</v>
      </c>
      <c r="I299" s="146" t="s">
        <v>1</v>
      </c>
      <c r="J299" s="258">
        <v>554</v>
      </c>
      <c r="K299" s="146" t="s">
        <v>1</v>
      </c>
      <c r="L299" s="258">
        <v>383</v>
      </c>
      <c r="M299" s="146" t="s">
        <v>1</v>
      </c>
      <c r="N299" s="258">
        <v>54</v>
      </c>
      <c r="O299" s="146" t="s">
        <v>1</v>
      </c>
      <c r="P299" s="146" t="s">
        <v>1</v>
      </c>
      <c r="Q299" s="223" t="s">
        <v>1</v>
      </c>
    </row>
    <row r="300" spans="1:18" ht="10.8" customHeight="1">
      <c r="A300" s="315"/>
      <c r="B300" s="185" t="s">
        <v>7</v>
      </c>
      <c r="C300" s="307">
        <v>327</v>
      </c>
      <c r="D300" s="259">
        <v>490</v>
      </c>
      <c r="E300" s="149" t="s">
        <v>1</v>
      </c>
      <c r="F300" s="259">
        <v>791</v>
      </c>
      <c r="G300" s="149" t="s">
        <v>1</v>
      </c>
      <c r="H300" s="259">
        <v>938</v>
      </c>
      <c r="I300" s="149" t="s">
        <v>1</v>
      </c>
      <c r="J300" s="259">
        <v>1180</v>
      </c>
      <c r="K300" s="149" t="s">
        <v>1</v>
      </c>
      <c r="L300" s="259">
        <v>1369</v>
      </c>
      <c r="M300" s="149" t="s">
        <v>1</v>
      </c>
      <c r="N300" s="259">
        <v>1355</v>
      </c>
      <c r="O300" s="149" t="s">
        <v>1</v>
      </c>
      <c r="P300" s="149" t="s">
        <v>1</v>
      </c>
      <c r="Q300" s="225" t="s">
        <v>1</v>
      </c>
    </row>
    <row r="301" spans="1:18" ht="10.5" customHeight="1">
      <c r="A301" s="300" t="s">
        <v>558</v>
      </c>
      <c r="B301" s="184" t="s">
        <v>2</v>
      </c>
      <c r="C301" s="318">
        <v>49.3</v>
      </c>
      <c r="D301" s="85" t="s">
        <v>21</v>
      </c>
      <c r="E301" s="85" t="s">
        <v>1</v>
      </c>
      <c r="F301" s="85" t="s">
        <v>21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221" t="s">
        <v>1</v>
      </c>
    </row>
    <row r="302" spans="1:18" ht="9" customHeight="1">
      <c r="A302" s="314"/>
      <c r="B302" s="2" t="s">
        <v>3</v>
      </c>
      <c r="C302" s="304">
        <v>171</v>
      </c>
      <c r="D302" s="258">
        <v>231</v>
      </c>
      <c r="E302" s="146" t="s">
        <v>1</v>
      </c>
      <c r="F302" s="258">
        <v>359</v>
      </c>
      <c r="G302" s="146" t="s">
        <v>1</v>
      </c>
      <c r="H302" s="258">
        <v>431</v>
      </c>
      <c r="I302" s="146" t="s">
        <v>1</v>
      </c>
      <c r="J302" s="258">
        <v>613</v>
      </c>
      <c r="K302" s="146" t="s">
        <v>1</v>
      </c>
      <c r="L302" s="258">
        <v>827</v>
      </c>
      <c r="M302" s="146" t="s">
        <v>1</v>
      </c>
      <c r="N302" s="258">
        <v>804</v>
      </c>
      <c r="O302" s="258">
        <v>677</v>
      </c>
      <c r="P302" s="258">
        <v>339</v>
      </c>
      <c r="Q302" s="223" t="s">
        <v>1</v>
      </c>
    </row>
    <row r="303" spans="1:18" ht="9.3000000000000007" customHeight="1">
      <c r="A303" s="314"/>
      <c r="B303" s="2" t="s">
        <v>5</v>
      </c>
      <c r="C303" s="304">
        <v>210</v>
      </c>
      <c r="D303" s="258">
        <v>319</v>
      </c>
      <c r="E303" s="146" t="s">
        <v>1</v>
      </c>
      <c r="F303" s="258">
        <v>469</v>
      </c>
      <c r="G303" s="146" t="s">
        <v>1</v>
      </c>
      <c r="H303" s="258">
        <v>562</v>
      </c>
      <c r="I303" s="146" t="s">
        <v>1</v>
      </c>
      <c r="J303" s="258">
        <v>592</v>
      </c>
      <c r="K303" s="146" t="s">
        <v>1</v>
      </c>
      <c r="L303" s="258">
        <v>479</v>
      </c>
      <c r="M303" s="146" t="s">
        <v>1</v>
      </c>
      <c r="N303" s="258">
        <v>101</v>
      </c>
      <c r="O303" s="258">
        <v>109</v>
      </c>
      <c r="P303" s="258">
        <v>339</v>
      </c>
      <c r="Q303" s="223" t="s">
        <v>1</v>
      </c>
    </row>
    <row r="304" spans="1:18" ht="10.8" customHeight="1">
      <c r="A304" s="315"/>
      <c r="B304" s="185" t="s">
        <v>7</v>
      </c>
      <c r="C304" s="307">
        <v>314</v>
      </c>
      <c r="D304" s="259">
        <v>471</v>
      </c>
      <c r="E304" s="149" t="s">
        <v>1</v>
      </c>
      <c r="F304" s="259">
        <v>735</v>
      </c>
      <c r="G304" s="149" t="s">
        <v>1</v>
      </c>
      <c r="H304" s="259">
        <v>898</v>
      </c>
      <c r="I304" s="149" t="s">
        <v>1</v>
      </c>
      <c r="J304" s="259">
        <v>1183</v>
      </c>
      <c r="K304" s="149" t="s">
        <v>1</v>
      </c>
      <c r="L304" s="259">
        <v>1411</v>
      </c>
      <c r="M304" s="149" t="s">
        <v>1</v>
      </c>
      <c r="N304" s="259">
        <v>1467</v>
      </c>
      <c r="O304" s="259">
        <v>1371</v>
      </c>
      <c r="P304" s="259">
        <v>1068</v>
      </c>
      <c r="Q304" s="225" t="s">
        <v>1</v>
      </c>
    </row>
    <row r="305" spans="1:17" ht="10.5" customHeight="1">
      <c r="A305" s="300" t="s">
        <v>551</v>
      </c>
      <c r="B305" s="184" t="s">
        <v>2</v>
      </c>
      <c r="C305" s="318">
        <v>51.4</v>
      </c>
      <c r="D305" s="262">
        <v>53.8</v>
      </c>
      <c r="E305" s="262">
        <v>57.6</v>
      </c>
      <c r="F305" s="85" t="s">
        <v>21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221" t="s">
        <v>1</v>
      </c>
    </row>
    <row r="306" spans="1:17" ht="9" customHeight="1">
      <c r="A306" s="314"/>
      <c r="B306" s="2" t="s">
        <v>3</v>
      </c>
      <c r="C306" s="304">
        <v>166</v>
      </c>
      <c r="D306" s="258">
        <v>222</v>
      </c>
      <c r="E306" s="258">
        <v>262</v>
      </c>
      <c r="F306" s="258">
        <v>344</v>
      </c>
      <c r="G306" s="258">
        <v>398</v>
      </c>
      <c r="H306" s="258">
        <v>421</v>
      </c>
      <c r="I306" s="258">
        <v>442</v>
      </c>
      <c r="J306" s="258">
        <v>601</v>
      </c>
      <c r="K306" s="258">
        <v>658</v>
      </c>
      <c r="L306" s="258">
        <v>832</v>
      </c>
      <c r="M306" s="258">
        <v>842</v>
      </c>
      <c r="N306" s="258">
        <v>936</v>
      </c>
      <c r="O306" s="258">
        <v>824</v>
      </c>
      <c r="P306" s="258">
        <v>673</v>
      </c>
      <c r="Q306" s="223" t="s">
        <v>1</v>
      </c>
    </row>
    <row r="307" spans="1:17" ht="9.3000000000000007" customHeight="1">
      <c r="A307" s="314"/>
      <c r="B307" s="2" t="s">
        <v>5</v>
      </c>
      <c r="C307" s="304">
        <v>201</v>
      </c>
      <c r="D307" s="258">
        <v>296</v>
      </c>
      <c r="E307" s="258">
        <v>327</v>
      </c>
      <c r="F307" s="258">
        <v>430</v>
      </c>
      <c r="G307" s="258">
        <v>341</v>
      </c>
      <c r="H307" s="258">
        <v>540</v>
      </c>
      <c r="I307" s="258">
        <v>559</v>
      </c>
      <c r="J307" s="258">
        <v>593</v>
      </c>
      <c r="K307" s="258">
        <v>605</v>
      </c>
      <c r="L307" s="258">
        <v>534</v>
      </c>
      <c r="M307" s="258">
        <v>426</v>
      </c>
      <c r="N307" s="258">
        <v>320</v>
      </c>
      <c r="O307" s="258">
        <v>104</v>
      </c>
      <c r="P307" s="258">
        <v>672</v>
      </c>
      <c r="Q307" s="223" t="s">
        <v>1</v>
      </c>
    </row>
    <row r="308" spans="1:17" ht="10.8" customHeight="1">
      <c r="A308" s="315"/>
      <c r="B308" s="185" t="s">
        <v>7</v>
      </c>
      <c r="C308" s="307">
        <v>300</v>
      </c>
      <c r="D308" s="259">
        <v>438</v>
      </c>
      <c r="E308" s="259">
        <v>496</v>
      </c>
      <c r="F308" s="259">
        <v>675</v>
      </c>
      <c r="G308" s="259">
        <v>648</v>
      </c>
      <c r="H308" s="259">
        <v>851</v>
      </c>
      <c r="I308" s="259">
        <v>914</v>
      </c>
      <c r="J308" s="259">
        <v>1112</v>
      </c>
      <c r="K308" s="259">
        <v>1277</v>
      </c>
      <c r="L308" s="259">
        <v>1372</v>
      </c>
      <c r="M308" s="259">
        <v>1458</v>
      </c>
      <c r="N308" s="259">
        <v>1556</v>
      </c>
      <c r="O308" s="259">
        <v>1487</v>
      </c>
      <c r="P308" s="259">
        <v>1312</v>
      </c>
      <c r="Q308" s="225" t="s">
        <v>1</v>
      </c>
    </row>
    <row r="309" spans="1:17" ht="10.5" customHeight="1">
      <c r="A309" s="300" t="s">
        <v>552</v>
      </c>
      <c r="B309" s="184" t="s">
        <v>2</v>
      </c>
      <c r="C309" s="318">
        <v>50</v>
      </c>
      <c r="D309" s="262">
        <v>55.7</v>
      </c>
      <c r="E309" s="262">
        <v>59.5</v>
      </c>
      <c r="F309" s="85" t="s">
        <v>21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221" t="s">
        <v>21</v>
      </c>
    </row>
    <row r="310" spans="1:17" ht="9" customHeight="1">
      <c r="A310" s="314"/>
      <c r="B310" s="2" t="s">
        <v>3</v>
      </c>
      <c r="C310" s="304">
        <v>155</v>
      </c>
      <c r="D310" s="258">
        <v>210</v>
      </c>
      <c r="E310" s="258">
        <v>253</v>
      </c>
      <c r="F310" s="258">
        <v>327</v>
      </c>
      <c r="G310" s="258">
        <v>383</v>
      </c>
      <c r="H310" s="258">
        <v>403</v>
      </c>
      <c r="I310" s="258">
        <v>434</v>
      </c>
      <c r="J310" s="258">
        <v>607</v>
      </c>
      <c r="K310" s="258">
        <v>690</v>
      </c>
      <c r="L310" s="258">
        <v>851</v>
      </c>
      <c r="M310" s="258">
        <v>906</v>
      </c>
      <c r="N310" s="258">
        <v>996</v>
      </c>
      <c r="O310" s="258">
        <v>961</v>
      </c>
      <c r="P310" s="258">
        <v>857</v>
      </c>
      <c r="Q310" s="310">
        <v>707</v>
      </c>
    </row>
    <row r="311" spans="1:17" ht="9.3000000000000007" customHeight="1">
      <c r="A311" s="314"/>
      <c r="B311" s="2" t="s">
        <v>5</v>
      </c>
      <c r="C311" s="304">
        <v>182</v>
      </c>
      <c r="D311" s="258">
        <v>271</v>
      </c>
      <c r="E311" s="258">
        <v>317</v>
      </c>
      <c r="F311" s="258">
        <v>399</v>
      </c>
      <c r="G311" s="258">
        <v>333</v>
      </c>
      <c r="H311" s="258">
        <v>500</v>
      </c>
      <c r="I311" s="258">
        <v>546</v>
      </c>
      <c r="J311" s="258">
        <v>603</v>
      </c>
      <c r="K311" s="258">
        <v>644</v>
      </c>
      <c r="L311" s="258">
        <v>566</v>
      </c>
      <c r="M311" s="258">
        <v>525</v>
      </c>
      <c r="N311" s="258">
        <v>445</v>
      </c>
      <c r="O311" s="258">
        <v>333</v>
      </c>
      <c r="P311" s="258">
        <v>102</v>
      </c>
      <c r="Q311" s="310">
        <v>707</v>
      </c>
    </row>
    <row r="312" spans="1:17" ht="10.8" customHeight="1">
      <c r="A312" s="315"/>
      <c r="B312" s="185" t="s">
        <v>7</v>
      </c>
      <c r="C312" s="307">
        <v>274</v>
      </c>
      <c r="D312" s="259">
        <v>404</v>
      </c>
      <c r="E312" s="259">
        <v>478</v>
      </c>
      <c r="F312" s="259">
        <v>627</v>
      </c>
      <c r="G312" s="259">
        <v>617</v>
      </c>
      <c r="H312" s="259">
        <v>790</v>
      </c>
      <c r="I312" s="259">
        <v>875</v>
      </c>
      <c r="J312" s="259">
        <v>1096</v>
      </c>
      <c r="K312" s="259">
        <v>1277</v>
      </c>
      <c r="L312" s="259">
        <v>1372</v>
      </c>
      <c r="M312" s="259">
        <v>1500</v>
      </c>
      <c r="N312" s="259">
        <v>1564</v>
      </c>
      <c r="O312" s="259">
        <v>1580</v>
      </c>
      <c r="P312" s="259">
        <v>1450</v>
      </c>
      <c r="Q312" s="309">
        <v>1337</v>
      </c>
    </row>
    <row r="313" spans="1:17" ht="10.5" customHeight="1">
      <c r="A313" s="300">
        <v>8</v>
      </c>
      <c r="B313" s="184" t="s">
        <v>2</v>
      </c>
      <c r="C313" s="318">
        <v>47.9</v>
      </c>
      <c r="D313" s="262">
        <v>55.6</v>
      </c>
      <c r="E313" s="262">
        <v>65.599999999999994</v>
      </c>
      <c r="F313" s="262">
        <v>65.099999999999994</v>
      </c>
      <c r="G313" s="262">
        <v>69.5</v>
      </c>
      <c r="H313" s="262">
        <v>71.400000000000006</v>
      </c>
      <c r="I313" s="85" t="s">
        <v>21</v>
      </c>
      <c r="J313" s="85" t="s">
        <v>21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221" t="s">
        <v>21</v>
      </c>
    </row>
    <row r="314" spans="1:17" ht="9" customHeight="1">
      <c r="A314" s="314"/>
      <c r="B314" s="2" t="s">
        <v>3</v>
      </c>
      <c r="C314" s="304">
        <v>145</v>
      </c>
      <c r="D314" s="258">
        <v>199</v>
      </c>
      <c r="E314" s="258">
        <v>242</v>
      </c>
      <c r="F314" s="258">
        <v>312</v>
      </c>
      <c r="G314" s="258">
        <v>365</v>
      </c>
      <c r="H314" s="258">
        <v>387</v>
      </c>
      <c r="I314" s="258">
        <v>424</v>
      </c>
      <c r="J314" s="258">
        <v>571</v>
      </c>
      <c r="K314" s="258">
        <v>673</v>
      </c>
      <c r="L314" s="258">
        <v>823</v>
      </c>
      <c r="M314" s="258">
        <v>909</v>
      </c>
      <c r="N314" s="258">
        <v>993</v>
      </c>
      <c r="O314" s="258">
        <v>1024</v>
      </c>
      <c r="P314" s="258">
        <v>949</v>
      </c>
      <c r="Q314" s="310">
        <v>898</v>
      </c>
    </row>
    <row r="315" spans="1:17" ht="9.3000000000000007" customHeight="1">
      <c r="A315" s="314"/>
      <c r="B315" s="2" t="s">
        <v>5</v>
      </c>
      <c r="C315" s="304">
        <v>167</v>
      </c>
      <c r="D315" s="258">
        <v>250</v>
      </c>
      <c r="E315" s="258">
        <v>304</v>
      </c>
      <c r="F315" s="258">
        <v>370</v>
      </c>
      <c r="G315" s="258">
        <v>323</v>
      </c>
      <c r="H315" s="258">
        <v>466</v>
      </c>
      <c r="I315" s="258">
        <v>532</v>
      </c>
      <c r="J315" s="258">
        <v>576</v>
      </c>
      <c r="K315" s="258">
        <v>643</v>
      </c>
      <c r="L315" s="258">
        <v>571</v>
      </c>
      <c r="M315" s="258">
        <v>578</v>
      </c>
      <c r="N315" s="258">
        <v>518</v>
      </c>
      <c r="O315" s="258">
        <v>460</v>
      </c>
      <c r="P315" s="258">
        <v>225</v>
      </c>
      <c r="Q315" s="310">
        <v>174</v>
      </c>
    </row>
    <row r="316" spans="1:17" ht="10.8" customHeight="1">
      <c r="A316" s="315"/>
      <c r="B316" s="185" t="s">
        <v>7</v>
      </c>
      <c r="C316" s="307">
        <v>253</v>
      </c>
      <c r="D316" s="259">
        <v>374</v>
      </c>
      <c r="E316" s="259">
        <v>454</v>
      </c>
      <c r="F316" s="259">
        <v>583</v>
      </c>
      <c r="G316" s="259">
        <v>585</v>
      </c>
      <c r="H316" s="259">
        <v>738</v>
      </c>
      <c r="I316" s="259">
        <v>835</v>
      </c>
      <c r="J316" s="259">
        <v>1017</v>
      </c>
      <c r="K316" s="259">
        <v>1196</v>
      </c>
      <c r="L316" s="259">
        <v>1290</v>
      </c>
      <c r="M316" s="259">
        <v>1455</v>
      </c>
      <c r="N316" s="259">
        <v>1516</v>
      </c>
      <c r="O316" s="259">
        <v>1609</v>
      </c>
      <c r="P316" s="259">
        <v>1471</v>
      </c>
      <c r="Q316" s="309">
        <v>1485</v>
      </c>
    </row>
    <row r="317" spans="1:17" ht="10.5" customHeight="1">
      <c r="A317" s="300">
        <v>9</v>
      </c>
      <c r="B317" s="184" t="s">
        <v>2</v>
      </c>
      <c r="C317" s="318">
        <v>46.6</v>
      </c>
      <c r="D317" s="262">
        <v>55.3</v>
      </c>
      <c r="E317" s="262">
        <v>67.3</v>
      </c>
      <c r="F317" s="262">
        <v>66.400000000000006</v>
      </c>
      <c r="G317" s="262">
        <v>73.8</v>
      </c>
      <c r="H317" s="262">
        <v>75.3</v>
      </c>
      <c r="I317" s="85" t="s">
        <v>21</v>
      </c>
      <c r="J317" s="85" t="s">
        <v>21</v>
      </c>
      <c r="K317" s="85" t="s">
        <v>21</v>
      </c>
      <c r="L317" s="85" t="s">
        <v>21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221" t="s">
        <v>21</v>
      </c>
    </row>
    <row r="318" spans="1:17" ht="9" customHeight="1">
      <c r="A318" s="314"/>
      <c r="B318" s="2" t="s">
        <v>3</v>
      </c>
      <c r="C318" s="304">
        <v>137</v>
      </c>
      <c r="D318" s="258">
        <v>187</v>
      </c>
      <c r="E318" s="258">
        <v>228</v>
      </c>
      <c r="F318" s="258">
        <v>300</v>
      </c>
      <c r="G318" s="258">
        <v>348</v>
      </c>
      <c r="H318" s="258">
        <v>373</v>
      </c>
      <c r="I318" s="258">
        <v>406</v>
      </c>
      <c r="J318" s="258">
        <v>552</v>
      </c>
      <c r="K318" s="258">
        <v>675</v>
      </c>
      <c r="L318" s="258">
        <v>800</v>
      </c>
      <c r="M318" s="258">
        <v>927</v>
      </c>
      <c r="N318" s="258">
        <v>986</v>
      </c>
      <c r="O318" s="258">
        <v>1033</v>
      </c>
      <c r="P318" s="258">
        <v>971</v>
      </c>
      <c r="Q318" s="310">
        <v>988</v>
      </c>
    </row>
    <row r="319" spans="1:17" ht="9.3000000000000007" customHeight="1">
      <c r="A319" s="314"/>
      <c r="B319" s="2" t="s">
        <v>5</v>
      </c>
      <c r="C319" s="304">
        <v>152</v>
      </c>
      <c r="D319" s="258">
        <v>226</v>
      </c>
      <c r="E319" s="258">
        <v>290</v>
      </c>
      <c r="F319" s="258">
        <v>348</v>
      </c>
      <c r="G319" s="258">
        <v>312</v>
      </c>
      <c r="H319" s="258">
        <v>443</v>
      </c>
      <c r="I319" s="258">
        <v>512</v>
      </c>
      <c r="J319" s="258">
        <v>563</v>
      </c>
      <c r="K319" s="258">
        <v>652</v>
      </c>
      <c r="L319" s="258">
        <v>569</v>
      </c>
      <c r="M319" s="258">
        <v>610</v>
      </c>
      <c r="N319" s="258">
        <v>541</v>
      </c>
      <c r="O319" s="258">
        <v>533</v>
      </c>
      <c r="P319" s="258">
        <v>302</v>
      </c>
      <c r="Q319" s="310">
        <v>251</v>
      </c>
    </row>
    <row r="320" spans="1:17" ht="10.8" customHeight="1">
      <c r="A320" s="315"/>
      <c r="B320" s="185" t="s">
        <v>7</v>
      </c>
      <c r="C320" s="307">
        <v>232</v>
      </c>
      <c r="D320" s="259">
        <v>341</v>
      </c>
      <c r="E320" s="259">
        <v>429</v>
      </c>
      <c r="F320" s="259">
        <v>551</v>
      </c>
      <c r="G320" s="259">
        <v>555</v>
      </c>
      <c r="H320" s="259">
        <v>699</v>
      </c>
      <c r="I320" s="259">
        <v>794</v>
      </c>
      <c r="J320" s="259">
        <v>981</v>
      </c>
      <c r="K320" s="259">
        <v>1177</v>
      </c>
      <c r="L320" s="259">
        <v>1244</v>
      </c>
      <c r="M320" s="259">
        <v>1453</v>
      </c>
      <c r="N320" s="259">
        <v>1488</v>
      </c>
      <c r="O320" s="259">
        <v>1556</v>
      </c>
      <c r="P320" s="259">
        <v>1471</v>
      </c>
      <c r="Q320" s="309">
        <v>1523</v>
      </c>
    </row>
    <row r="321" spans="1:17" ht="10.5" customHeight="1">
      <c r="A321" s="300">
        <v>10</v>
      </c>
      <c r="B321" s="184" t="s">
        <v>2</v>
      </c>
      <c r="C321" s="318">
        <v>40.1</v>
      </c>
      <c r="D321" s="262">
        <v>52.8</v>
      </c>
      <c r="E321" s="262">
        <v>66.2</v>
      </c>
      <c r="F321" s="262">
        <v>66.900000000000006</v>
      </c>
      <c r="G321" s="262">
        <v>77.8</v>
      </c>
      <c r="H321" s="262">
        <v>79.099999999999994</v>
      </c>
      <c r="I321" s="262">
        <v>81.2</v>
      </c>
      <c r="J321" s="85" t="s">
        <v>21</v>
      </c>
      <c r="K321" s="85" t="s">
        <v>21</v>
      </c>
      <c r="L321" s="85" t="s">
        <v>21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221" t="s">
        <v>21</v>
      </c>
    </row>
    <row r="322" spans="1:17" ht="9" customHeight="1">
      <c r="A322" s="314"/>
      <c r="B322" s="2" t="s">
        <v>3</v>
      </c>
      <c r="C322" s="304">
        <v>114</v>
      </c>
      <c r="D322" s="258">
        <v>172</v>
      </c>
      <c r="E322" s="258">
        <v>215</v>
      </c>
      <c r="F322" s="258">
        <v>280</v>
      </c>
      <c r="G322" s="258">
        <v>331</v>
      </c>
      <c r="H322" s="258">
        <v>353</v>
      </c>
      <c r="I322" s="258">
        <v>389</v>
      </c>
      <c r="J322" s="258">
        <v>524</v>
      </c>
      <c r="K322" s="258">
        <v>632</v>
      </c>
      <c r="L322" s="258">
        <v>767</v>
      </c>
      <c r="M322" s="258">
        <v>892</v>
      </c>
      <c r="N322" s="258">
        <v>963</v>
      </c>
      <c r="O322" s="258">
        <v>1025</v>
      </c>
      <c r="P322" s="258">
        <v>987</v>
      </c>
      <c r="Q322" s="310">
        <v>1012</v>
      </c>
    </row>
    <row r="323" spans="1:17" ht="9.3000000000000007" customHeight="1">
      <c r="A323" s="314"/>
      <c r="B323" s="2" t="s">
        <v>5</v>
      </c>
      <c r="C323" s="304">
        <v>119</v>
      </c>
      <c r="D323" s="258">
        <v>199</v>
      </c>
      <c r="E323" s="258">
        <v>275</v>
      </c>
      <c r="F323" s="258">
        <v>316</v>
      </c>
      <c r="G323" s="258">
        <v>301</v>
      </c>
      <c r="H323" s="258">
        <v>408</v>
      </c>
      <c r="I323" s="258">
        <v>494</v>
      </c>
      <c r="J323" s="258">
        <v>541</v>
      </c>
      <c r="K323" s="258">
        <v>620</v>
      </c>
      <c r="L323" s="258">
        <v>566</v>
      </c>
      <c r="M323" s="258">
        <v>613</v>
      </c>
      <c r="N323" s="258">
        <v>563</v>
      </c>
      <c r="O323" s="258">
        <v>558</v>
      </c>
      <c r="P323" s="258">
        <v>383</v>
      </c>
      <c r="Q323" s="310">
        <v>329</v>
      </c>
    </row>
    <row r="324" spans="1:17" ht="10.8" customHeight="1">
      <c r="A324" s="315"/>
      <c r="B324" s="185" t="s">
        <v>7</v>
      </c>
      <c r="C324" s="307">
        <v>185</v>
      </c>
      <c r="D324" s="259">
        <v>304</v>
      </c>
      <c r="E324" s="259">
        <v>404</v>
      </c>
      <c r="F324" s="259">
        <v>504</v>
      </c>
      <c r="G324" s="259">
        <v>527</v>
      </c>
      <c r="H324" s="259">
        <v>645</v>
      </c>
      <c r="I324" s="259">
        <v>757</v>
      </c>
      <c r="J324" s="259">
        <v>927</v>
      </c>
      <c r="K324" s="259">
        <v>1091</v>
      </c>
      <c r="L324" s="259">
        <v>1186</v>
      </c>
      <c r="M324" s="259">
        <v>1362</v>
      </c>
      <c r="N324" s="259">
        <v>1428</v>
      </c>
      <c r="O324" s="259">
        <v>1525</v>
      </c>
      <c r="P324" s="259">
        <v>1463</v>
      </c>
      <c r="Q324" s="309">
        <v>1523</v>
      </c>
    </row>
    <row r="325" spans="1:17" ht="10.5" customHeight="1">
      <c r="A325" s="300" t="s">
        <v>555</v>
      </c>
      <c r="B325" s="184" t="s">
        <v>2</v>
      </c>
      <c r="C325" s="318">
        <v>39.200000000000003</v>
      </c>
      <c r="D325" s="262">
        <v>48.3</v>
      </c>
      <c r="E325" s="262">
        <v>64.400000000000006</v>
      </c>
      <c r="F325" s="262">
        <v>62.6</v>
      </c>
      <c r="G325" s="262">
        <v>78.599999999999994</v>
      </c>
      <c r="H325" s="262">
        <v>75.599999999999994</v>
      </c>
      <c r="I325" s="262">
        <v>84.2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221" t="s">
        <v>21</v>
      </c>
    </row>
    <row r="326" spans="1:17" ht="9" customHeight="1">
      <c r="A326" s="314"/>
      <c r="B326" s="2" t="s">
        <v>3</v>
      </c>
      <c r="C326" s="304">
        <v>110</v>
      </c>
      <c r="D326" s="258">
        <v>154</v>
      </c>
      <c r="E326" s="258">
        <v>202</v>
      </c>
      <c r="F326" s="258">
        <v>252</v>
      </c>
      <c r="G326" s="258">
        <v>317</v>
      </c>
      <c r="H326" s="258">
        <v>315</v>
      </c>
      <c r="I326" s="258">
        <v>376</v>
      </c>
      <c r="J326" s="258">
        <v>473</v>
      </c>
      <c r="K326" s="258">
        <v>610</v>
      </c>
      <c r="L326" s="258">
        <v>696</v>
      </c>
      <c r="M326" s="258">
        <v>863</v>
      </c>
      <c r="N326" s="258">
        <v>889</v>
      </c>
      <c r="O326" s="258">
        <v>1001</v>
      </c>
      <c r="P326" s="258">
        <v>924</v>
      </c>
      <c r="Q326" s="310">
        <v>1034</v>
      </c>
    </row>
    <row r="327" spans="1:17" ht="9.3000000000000007" customHeight="1">
      <c r="A327" s="314"/>
      <c r="B327" s="2" t="s">
        <v>5</v>
      </c>
      <c r="C327" s="304">
        <v>113</v>
      </c>
      <c r="D327" s="258">
        <v>173</v>
      </c>
      <c r="E327" s="258">
        <v>261</v>
      </c>
      <c r="F327" s="258">
        <v>277</v>
      </c>
      <c r="G327" s="258">
        <v>291</v>
      </c>
      <c r="H327" s="258">
        <v>351</v>
      </c>
      <c r="I327" s="258">
        <v>479</v>
      </c>
      <c r="J327" s="258">
        <v>496</v>
      </c>
      <c r="K327" s="258">
        <v>604</v>
      </c>
      <c r="L327" s="258">
        <v>525</v>
      </c>
      <c r="M327" s="258">
        <v>610</v>
      </c>
      <c r="N327" s="258">
        <v>537</v>
      </c>
      <c r="O327" s="258">
        <v>581</v>
      </c>
      <c r="P327" s="258">
        <v>402</v>
      </c>
      <c r="Q327" s="310">
        <v>409</v>
      </c>
    </row>
    <row r="328" spans="1:17" ht="10.8" customHeight="1">
      <c r="A328" s="315"/>
      <c r="B328" s="185" t="s">
        <v>7</v>
      </c>
      <c r="C328" s="307">
        <v>177</v>
      </c>
      <c r="D328" s="259">
        <v>266</v>
      </c>
      <c r="E328" s="259">
        <v>381</v>
      </c>
      <c r="F328" s="259">
        <v>444</v>
      </c>
      <c r="G328" s="259">
        <v>505</v>
      </c>
      <c r="H328" s="259">
        <v>561</v>
      </c>
      <c r="I328" s="259">
        <v>728</v>
      </c>
      <c r="J328" s="259">
        <v>837</v>
      </c>
      <c r="K328" s="259">
        <v>1049</v>
      </c>
      <c r="L328" s="259">
        <v>1076</v>
      </c>
      <c r="M328" s="259">
        <v>1312</v>
      </c>
      <c r="N328" s="259">
        <v>1301</v>
      </c>
      <c r="O328" s="259">
        <v>1460</v>
      </c>
      <c r="P328" s="259">
        <v>1361</v>
      </c>
      <c r="Q328" s="309">
        <v>1509</v>
      </c>
    </row>
    <row r="329" spans="1:17" ht="10.5" customHeight="1">
      <c r="A329" s="300" t="s">
        <v>554</v>
      </c>
      <c r="B329" s="184" t="s">
        <v>2</v>
      </c>
      <c r="C329" s="318">
        <v>44.1</v>
      </c>
      <c r="D329" s="262">
        <v>55.9</v>
      </c>
      <c r="E329" s="262">
        <v>61</v>
      </c>
      <c r="F329" s="262">
        <v>80.8</v>
      </c>
      <c r="G329" s="262">
        <v>77.7</v>
      </c>
      <c r="H329" s="237">
        <v>104</v>
      </c>
      <c r="I329" s="237">
        <v>88</v>
      </c>
      <c r="J329" s="237">
        <v>153</v>
      </c>
      <c r="K329" s="237">
        <v>105</v>
      </c>
      <c r="L329" s="237">
        <v>189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221" t="s">
        <v>21</v>
      </c>
    </row>
    <row r="330" spans="1:17" ht="9" customHeight="1">
      <c r="A330" s="314"/>
      <c r="B330" s="2" t="s">
        <v>3</v>
      </c>
      <c r="C330" s="304">
        <v>112</v>
      </c>
      <c r="D330" s="258">
        <v>156</v>
      </c>
      <c r="E330" s="258">
        <v>185</v>
      </c>
      <c r="F330" s="258">
        <v>261</v>
      </c>
      <c r="G330" s="258">
        <v>297</v>
      </c>
      <c r="H330" s="258">
        <v>339</v>
      </c>
      <c r="I330" s="258">
        <v>355</v>
      </c>
      <c r="J330" s="258">
        <v>535</v>
      </c>
      <c r="K330" s="258">
        <v>578</v>
      </c>
      <c r="L330" s="258">
        <v>801</v>
      </c>
      <c r="M330" s="258">
        <v>823</v>
      </c>
      <c r="N330" s="258">
        <v>1013</v>
      </c>
      <c r="O330" s="258">
        <v>919</v>
      </c>
      <c r="P330" s="258">
        <v>1122</v>
      </c>
      <c r="Q330" s="310">
        <v>970</v>
      </c>
    </row>
    <row r="331" spans="1:17" ht="9.3000000000000007" customHeight="1">
      <c r="A331" s="314"/>
      <c r="B331" s="2" t="s">
        <v>5</v>
      </c>
      <c r="C331" s="304">
        <v>114</v>
      </c>
      <c r="D331" s="258">
        <v>173</v>
      </c>
      <c r="E331" s="258">
        <v>243</v>
      </c>
      <c r="F331" s="258">
        <v>282</v>
      </c>
      <c r="G331" s="258">
        <v>277</v>
      </c>
      <c r="H331" s="258">
        <v>374</v>
      </c>
      <c r="I331" s="258">
        <v>457</v>
      </c>
      <c r="J331" s="258">
        <v>561</v>
      </c>
      <c r="K331" s="258">
        <v>580</v>
      </c>
      <c r="L331" s="258">
        <v>632</v>
      </c>
      <c r="M331" s="258">
        <v>602</v>
      </c>
      <c r="N331" s="258">
        <v>678</v>
      </c>
      <c r="O331" s="258">
        <v>559</v>
      </c>
      <c r="P331" s="258">
        <v>602</v>
      </c>
      <c r="Q331" s="310">
        <v>425</v>
      </c>
    </row>
    <row r="332" spans="1:17" ht="10.8" customHeight="1">
      <c r="A332" s="315"/>
      <c r="B332" s="185" t="s">
        <v>7</v>
      </c>
      <c r="C332" s="307">
        <v>176</v>
      </c>
      <c r="D332" s="259">
        <v>262</v>
      </c>
      <c r="E332" s="259">
        <v>352</v>
      </c>
      <c r="F332" s="259">
        <v>442</v>
      </c>
      <c r="G332" s="259">
        <v>474</v>
      </c>
      <c r="H332" s="259">
        <v>584</v>
      </c>
      <c r="I332" s="259">
        <v>687</v>
      </c>
      <c r="J332" s="259">
        <v>900</v>
      </c>
      <c r="K332" s="259">
        <v>993</v>
      </c>
      <c r="L332" s="259">
        <v>1182</v>
      </c>
      <c r="M332" s="259">
        <v>1250</v>
      </c>
      <c r="N332" s="259">
        <v>1421</v>
      </c>
      <c r="O332" s="259">
        <v>1330</v>
      </c>
      <c r="P332" s="259">
        <v>1537</v>
      </c>
      <c r="Q332" s="309">
        <v>1398</v>
      </c>
    </row>
    <row r="333" spans="1:17" ht="10.5" customHeight="1">
      <c r="A333" s="300">
        <v>14</v>
      </c>
      <c r="B333" s="184" t="s">
        <v>2</v>
      </c>
      <c r="C333" s="318">
        <v>40.1</v>
      </c>
      <c r="D333" s="262">
        <v>50.6</v>
      </c>
      <c r="E333" s="262">
        <v>55.6</v>
      </c>
      <c r="F333" s="262">
        <v>74.099999999999994</v>
      </c>
      <c r="G333" s="262">
        <v>72.3</v>
      </c>
      <c r="H333" s="262">
        <v>96.2</v>
      </c>
      <c r="I333" s="262">
        <v>83.1</v>
      </c>
      <c r="J333" s="237">
        <v>144</v>
      </c>
      <c r="K333" s="237">
        <v>105</v>
      </c>
      <c r="L333" s="237">
        <v>188</v>
      </c>
      <c r="M333" s="237">
        <v>102</v>
      </c>
      <c r="N333" s="237">
        <v>174</v>
      </c>
      <c r="O333" s="237">
        <v>182</v>
      </c>
      <c r="P333" s="237">
        <v>110</v>
      </c>
      <c r="Q333" s="316">
        <v>101</v>
      </c>
    </row>
    <row r="334" spans="1:17" ht="9" customHeight="1">
      <c r="A334" s="314"/>
      <c r="B334" s="2" t="s">
        <v>3</v>
      </c>
      <c r="C334" s="304">
        <v>100</v>
      </c>
      <c r="D334" s="258">
        <v>138</v>
      </c>
      <c r="E334" s="258">
        <v>166</v>
      </c>
      <c r="F334" s="258">
        <v>232</v>
      </c>
      <c r="G334" s="258">
        <v>267</v>
      </c>
      <c r="H334" s="258">
        <v>304</v>
      </c>
      <c r="I334" s="258">
        <v>318</v>
      </c>
      <c r="J334" s="258">
        <v>480</v>
      </c>
      <c r="K334" s="258">
        <v>521</v>
      </c>
      <c r="L334" s="258">
        <v>722</v>
      </c>
      <c r="M334" s="258">
        <v>747</v>
      </c>
      <c r="N334" s="258">
        <v>915</v>
      </c>
      <c r="O334" s="258">
        <v>1039</v>
      </c>
      <c r="P334" s="258">
        <v>1028</v>
      </c>
      <c r="Q334" s="310">
        <v>1156</v>
      </c>
    </row>
    <row r="335" spans="1:17" ht="9.3000000000000007" customHeight="1">
      <c r="A335" s="314"/>
      <c r="B335" s="2" t="s">
        <v>5</v>
      </c>
      <c r="C335" s="304">
        <v>101</v>
      </c>
      <c r="D335" s="258">
        <v>149</v>
      </c>
      <c r="E335" s="258">
        <v>220</v>
      </c>
      <c r="F335" s="258">
        <v>244</v>
      </c>
      <c r="G335" s="258">
        <v>252</v>
      </c>
      <c r="H335" s="258">
        <v>327</v>
      </c>
      <c r="I335" s="258">
        <v>415</v>
      </c>
      <c r="J335" s="258">
        <v>511</v>
      </c>
      <c r="K335" s="258">
        <v>530</v>
      </c>
      <c r="L335" s="258">
        <v>582</v>
      </c>
      <c r="M335" s="258">
        <v>557</v>
      </c>
      <c r="N335" s="258">
        <v>630</v>
      </c>
      <c r="O335" s="258">
        <v>693</v>
      </c>
      <c r="P335" s="258">
        <v>589</v>
      </c>
      <c r="Q335" s="310">
        <v>624</v>
      </c>
    </row>
    <row r="336" spans="1:17" ht="10.8" customHeight="1">
      <c r="A336" s="387"/>
      <c r="B336" s="393" t="s">
        <v>7</v>
      </c>
      <c r="C336" s="370">
        <v>155</v>
      </c>
      <c r="D336" s="371">
        <v>227</v>
      </c>
      <c r="E336" s="371">
        <v>316</v>
      </c>
      <c r="F336" s="371">
        <v>385</v>
      </c>
      <c r="G336" s="371">
        <v>427</v>
      </c>
      <c r="H336" s="371">
        <v>512</v>
      </c>
      <c r="I336" s="371">
        <v>619</v>
      </c>
      <c r="J336" s="371">
        <v>808</v>
      </c>
      <c r="K336" s="371">
        <v>893</v>
      </c>
      <c r="L336" s="371">
        <v>1065</v>
      </c>
      <c r="M336" s="371">
        <v>1130</v>
      </c>
      <c r="N336" s="371">
        <v>1282</v>
      </c>
      <c r="O336" s="371">
        <v>1448</v>
      </c>
      <c r="P336" s="371">
        <v>1399</v>
      </c>
      <c r="Q336" s="372">
        <v>1572</v>
      </c>
    </row>
    <row r="374" spans="1:18" ht="40.799999999999997" customHeight="1">
      <c r="A374" s="449" t="s">
        <v>352</v>
      </c>
      <c r="B374" s="449"/>
      <c r="C374" s="449"/>
      <c r="D374" s="449"/>
      <c r="E374" s="449"/>
      <c r="F374" s="449"/>
      <c r="G374" s="449"/>
      <c r="H374" s="449"/>
      <c r="I374" s="449"/>
      <c r="J374" s="449"/>
      <c r="K374" s="449"/>
      <c r="L374" s="449"/>
      <c r="M374" s="449"/>
      <c r="N374" s="449"/>
      <c r="O374" s="449"/>
      <c r="P374" s="449"/>
      <c r="Q374" s="449"/>
      <c r="R374" s="449"/>
    </row>
    <row r="375" spans="1:18" ht="12.3" customHeight="1">
      <c r="A375" s="450" t="s">
        <v>69</v>
      </c>
      <c r="B375" s="451"/>
      <c r="C375" s="454" t="s">
        <v>14</v>
      </c>
      <c r="D375" s="455"/>
      <c r="E375" s="455"/>
      <c r="F375" s="455"/>
      <c r="G375" s="455"/>
      <c r="H375" s="455"/>
      <c r="I375" s="455"/>
      <c r="J375" s="455"/>
      <c r="K375" s="455"/>
      <c r="L375" s="455"/>
      <c r="M375" s="455"/>
      <c r="N375" s="455"/>
      <c r="O375" s="455"/>
      <c r="P375" s="455"/>
      <c r="Q375" s="455"/>
    </row>
    <row r="376" spans="1:18" ht="9" customHeight="1">
      <c r="A376" s="452"/>
      <c r="B376" s="453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4">
        <v>18</v>
      </c>
    </row>
    <row r="377" spans="1:18" ht="10.5" customHeight="1">
      <c r="A377" s="300">
        <v>5</v>
      </c>
      <c r="B377" s="184" t="s">
        <v>2</v>
      </c>
      <c r="C377" s="153" t="s">
        <v>21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1</v>
      </c>
      <c r="Q377" s="221" t="s">
        <v>1</v>
      </c>
    </row>
    <row r="378" spans="1:18" ht="9" customHeight="1">
      <c r="A378" s="314"/>
      <c r="B378" s="2" t="s">
        <v>3</v>
      </c>
      <c r="C378" s="304">
        <v>192</v>
      </c>
      <c r="D378" s="258">
        <v>254</v>
      </c>
      <c r="E378" s="146" t="s">
        <v>1</v>
      </c>
      <c r="F378" s="258">
        <v>384</v>
      </c>
      <c r="G378" s="146" t="s">
        <v>1</v>
      </c>
      <c r="H378" s="258">
        <v>430</v>
      </c>
      <c r="I378" s="146" t="s">
        <v>1</v>
      </c>
      <c r="J378" s="258">
        <v>498</v>
      </c>
      <c r="K378" s="146" t="s">
        <v>1</v>
      </c>
      <c r="L378" s="258">
        <v>583</v>
      </c>
      <c r="M378" s="146" t="s">
        <v>1</v>
      </c>
      <c r="N378" s="146" t="s">
        <v>21</v>
      </c>
      <c r="O378" s="146" t="s">
        <v>1</v>
      </c>
      <c r="P378" s="146" t="s">
        <v>1</v>
      </c>
      <c r="Q378" s="223" t="s">
        <v>1</v>
      </c>
    </row>
    <row r="379" spans="1:18" ht="9.3000000000000007" customHeight="1">
      <c r="A379" s="314"/>
      <c r="B379" s="2" t="s">
        <v>5</v>
      </c>
      <c r="C379" s="304">
        <v>235</v>
      </c>
      <c r="D379" s="258">
        <v>357</v>
      </c>
      <c r="E379" s="146" t="s">
        <v>1</v>
      </c>
      <c r="F379" s="258">
        <v>535</v>
      </c>
      <c r="G379" s="146" t="s">
        <v>1</v>
      </c>
      <c r="H379" s="258">
        <v>522</v>
      </c>
      <c r="I379" s="146" t="s">
        <v>1</v>
      </c>
      <c r="J379" s="258">
        <v>388</v>
      </c>
      <c r="K379" s="146" t="s">
        <v>1</v>
      </c>
      <c r="L379" s="258">
        <v>76</v>
      </c>
      <c r="M379" s="146" t="s">
        <v>1</v>
      </c>
      <c r="N379" s="258">
        <v>185</v>
      </c>
      <c r="O379" s="146" t="s">
        <v>1</v>
      </c>
      <c r="P379" s="146" t="s">
        <v>1</v>
      </c>
      <c r="Q379" s="223" t="s">
        <v>1</v>
      </c>
    </row>
    <row r="380" spans="1:18" ht="10.8" customHeight="1">
      <c r="A380" s="315"/>
      <c r="B380" s="185" t="s">
        <v>7</v>
      </c>
      <c r="C380" s="307">
        <v>366</v>
      </c>
      <c r="D380" s="259">
        <v>545</v>
      </c>
      <c r="E380" s="149" t="s">
        <v>1</v>
      </c>
      <c r="F380" s="259">
        <v>867</v>
      </c>
      <c r="G380" s="149" t="s">
        <v>1</v>
      </c>
      <c r="H380" s="259">
        <v>961</v>
      </c>
      <c r="I380" s="149" t="s">
        <v>1</v>
      </c>
      <c r="J380" s="259">
        <v>1124</v>
      </c>
      <c r="K380" s="149" t="s">
        <v>1</v>
      </c>
      <c r="L380" s="259">
        <v>1229</v>
      </c>
      <c r="M380" s="149" t="s">
        <v>1</v>
      </c>
      <c r="N380" s="259">
        <v>975</v>
      </c>
      <c r="O380" s="149" t="s">
        <v>1</v>
      </c>
      <c r="P380" s="149" t="s">
        <v>1</v>
      </c>
      <c r="Q380" s="225" t="s">
        <v>1</v>
      </c>
    </row>
    <row r="381" spans="1:18" ht="10.5" customHeight="1">
      <c r="A381" s="300" t="s">
        <v>558</v>
      </c>
      <c r="B381" s="184" t="s">
        <v>2</v>
      </c>
      <c r="C381" s="153" t="s">
        <v>21</v>
      </c>
      <c r="D381" s="85" t="s">
        <v>21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221" t="s">
        <v>1</v>
      </c>
    </row>
    <row r="382" spans="1:18" ht="9" customHeight="1">
      <c r="A382" s="314"/>
      <c r="B382" s="2" t="s">
        <v>3</v>
      </c>
      <c r="C382" s="304">
        <v>186</v>
      </c>
      <c r="D382" s="258">
        <v>247</v>
      </c>
      <c r="E382" s="146" t="s">
        <v>1</v>
      </c>
      <c r="F382" s="258">
        <v>376</v>
      </c>
      <c r="G382" s="146" t="s">
        <v>1</v>
      </c>
      <c r="H382" s="258">
        <v>431</v>
      </c>
      <c r="I382" s="146" t="s">
        <v>1</v>
      </c>
      <c r="J382" s="258">
        <v>562</v>
      </c>
      <c r="K382" s="146" t="s">
        <v>1</v>
      </c>
      <c r="L382" s="258">
        <v>700</v>
      </c>
      <c r="M382" s="146" t="s">
        <v>1</v>
      </c>
      <c r="N382" s="258">
        <v>420</v>
      </c>
      <c r="O382" s="258">
        <v>180</v>
      </c>
      <c r="P382" s="146" t="s">
        <v>21</v>
      </c>
      <c r="Q382" s="223" t="s">
        <v>1</v>
      </c>
    </row>
    <row r="383" spans="1:18" ht="9.3000000000000007" customHeight="1">
      <c r="A383" s="314"/>
      <c r="B383" s="2" t="s">
        <v>5</v>
      </c>
      <c r="C383" s="304">
        <v>227</v>
      </c>
      <c r="D383" s="258">
        <v>344</v>
      </c>
      <c r="E383" s="146" t="s">
        <v>1</v>
      </c>
      <c r="F383" s="258">
        <v>495</v>
      </c>
      <c r="G383" s="146" t="s">
        <v>1</v>
      </c>
      <c r="H383" s="258">
        <v>523</v>
      </c>
      <c r="I383" s="146" t="s">
        <v>1</v>
      </c>
      <c r="J383" s="258">
        <v>467</v>
      </c>
      <c r="K383" s="146" t="s">
        <v>1</v>
      </c>
      <c r="L383" s="258">
        <v>214</v>
      </c>
      <c r="M383" s="146" t="s">
        <v>1</v>
      </c>
      <c r="N383" s="258">
        <v>419</v>
      </c>
      <c r="O383" s="258">
        <v>179</v>
      </c>
      <c r="P383" s="146" t="s">
        <v>1</v>
      </c>
      <c r="Q383" s="223" t="s">
        <v>1</v>
      </c>
    </row>
    <row r="384" spans="1:18" ht="10.8" customHeight="1">
      <c r="A384" s="315"/>
      <c r="B384" s="185" t="s">
        <v>7</v>
      </c>
      <c r="C384" s="307">
        <v>351</v>
      </c>
      <c r="D384" s="259">
        <v>524</v>
      </c>
      <c r="E384" s="149" t="s">
        <v>1</v>
      </c>
      <c r="F384" s="259">
        <v>808</v>
      </c>
      <c r="G384" s="149" t="s">
        <v>1</v>
      </c>
      <c r="H384" s="259">
        <v>926</v>
      </c>
      <c r="I384" s="149" t="s">
        <v>1</v>
      </c>
      <c r="J384" s="259">
        <v>1160</v>
      </c>
      <c r="K384" s="149" t="s">
        <v>1</v>
      </c>
      <c r="L384" s="259">
        <v>1309</v>
      </c>
      <c r="M384" s="149" t="s">
        <v>1</v>
      </c>
      <c r="N384" s="259">
        <v>1162</v>
      </c>
      <c r="O384" s="259">
        <v>969</v>
      </c>
      <c r="P384" s="259">
        <v>317</v>
      </c>
      <c r="Q384" s="225" t="s">
        <v>1</v>
      </c>
    </row>
    <row r="385" spans="1:17" ht="10.5" customHeight="1">
      <c r="A385" s="300" t="s">
        <v>551</v>
      </c>
      <c r="B385" s="184" t="s">
        <v>2</v>
      </c>
      <c r="C385" s="328">
        <v>39.6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221" t="s">
        <v>1</v>
      </c>
    </row>
    <row r="386" spans="1:17" ht="9" customHeight="1">
      <c r="A386" s="314"/>
      <c r="B386" s="2" t="s">
        <v>3</v>
      </c>
      <c r="C386" s="304">
        <v>181</v>
      </c>
      <c r="D386" s="258">
        <v>239</v>
      </c>
      <c r="E386" s="258">
        <v>281</v>
      </c>
      <c r="F386" s="258">
        <v>364</v>
      </c>
      <c r="G386" s="258">
        <v>412</v>
      </c>
      <c r="H386" s="258">
        <v>434</v>
      </c>
      <c r="I386" s="258">
        <v>436</v>
      </c>
      <c r="J386" s="258">
        <v>576</v>
      </c>
      <c r="K386" s="258">
        <v>570</v>
      </c>
      <c r="L386" s="258">
        <v>765</v>
      </c>
      <c r="M386" s="258">
        <v>660</v>
      </c>
      <c r="N386" s="258">
        <v>675</v>
      </c>
      <c r="O386" s="146" t="s">
        <v>21</v>
      </c>
      <c r="P386" s="146" t="s">
        <v>21</v>
      </c>
      <c r="Q386" s="223" t="s">
        <v>1</v>
      </c>
    </row>
    <row r="387" spans="1:17" ht="9.3000000000000007" customHeight="1">
      <c r="A387" s="314"/>
      <c r="B387" s="2" t="s">
        <v>5</v>
      </c>
      <c r="C387" s="304">
        <v>217</v>
      </c>
      <c r="D387" s="258">
        <v>321</v>
      </c>
      <c r="E387" s="258">
        <v>324</v>
      </c>
      <c r="F387" s="258">
        <v>458</v>
      </c>
      <c r="G387" s="258">
        <v>307</v>
      </c>
      <c r="H387" s="258">
        <v>526</v>
      </c>
      <c r="I387" s="258">
        <v>508</v>
      </c>
      <c r="J387" s="258">
        <v>501</v>
      </c>
      <c r="K387" s="258">
        <v>429</v>
      </c>
      <c r="L387" s="258">
        <v>354</v>
      </c>
      <c r="M387" s="258">
        <v>105</v>
      </c>
      <c r="N387" s="258">
        <v>675</v>
      </c>
      <c r="O387" s="258">
        <v>430</v>
      </c>
      <c r="P387" s="258">
        <v>109</v>
      </c>
      <c r="Q387" s="223" t="s">
        <v>1</v>
      </c>
    </row>
    <row r="388" spans="1:17" ht="10.8" customHeight="1">
      <c r="A388" s="315"/>
      <c r="B388" s="185" t="s">
        <v>7</v>
      </c>
      <c r="C388" s="307">
        <v>337</v>
      </c>
      <c r="D388" s="259">
        <v>489</v>
      </c>
      <c r="E388" s="259">
        <v>526</v>
      </c>
      <c r="F388" s="259">
        <v>746</v>
      </c>
      <c r="G388" s="259">
        <v>675</v>
      </c>
      <c r="H388" s="259">
        <v>892</v>
      </c>
      <c r="I388" s="259">
        <v>937</v>
      </c>
      <c r="J388" s="259">
        <v>1125</v>
      </c>
      <c r="K388" s="259">
        <v>1217</v>
      </c>
      <c r="L388" s="259">
        <v>1322</v>
      </c>
      <c r="M388" s="259">
        <v>1316</v>
      </c>
      <c r="N388" s="259">
        <v>1339</v>
      </c>
      <c r="O388" s="259">
        <v>1174</v>
      </c>
      <c r="P388" s="259">
        <v>839</v>
      </c>
      <c r="Q388" s="225" t="s">
        <v>1</v>
      </c>
    </row>
    <row r="389" spans="1:17" ht="10.5" customHeight="1">
      <c r="A389" s="300" t="s">
        <v>552</v>
      </c>
      <c r="B389" s="184" t="s">
        <v>2</v>
      </c>
      <c r="C389" s="318">
        <v>42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221" t="s">
        <v>21</v>
      </c>
    </row>
    <row r="390" spans="1:17" ht="9" customHeight="1">
      <c r="A390" s="314"/>
      <c r="B390" s="2" t="s">
        <v>3</v>
      </c>
      <c r="C390" s="304">
        <v>170</v>
      </c>
      <c r="D390" s="258">
        <v>228</v>
      </c>
      <c r="E390" s="258">
        <v>272</v>
      </c>
      <c r="F390" s="258">
        <v>348</v>
      </c>
      <c r="G390" s="258">
        <v>402</v>
      </c>
      <c r="H390" s="258">
        <v>421</v>
      </c>
      <c r="I390" s="258">
        <v>437</v>
      </c>
      <c r="J390" s="258">
        <v>594</v>
      </c>
      <c r="K390" s="258">
        <v>635</v>
      </c>
      <c r="L390" s="258">
        <v>805</v>
      </c>
      <c r="M390" s="258">
        <v>775</v>
      </c>
      <c r="N390" s="258">
        <v>822</v>
      </c>
      <c r="O390" s="258">
        <v>696</v>
      </c>
      <c r="P390" s="258">
        <v>446</v>
      </c>
      <c r="Q390" s="310">
        <v>133</v>
      </c>
    </row>
    <row r="391" spans="1:17" ht="9.3000000000000007" customHeight="1">
      <c r="A391" s="314"/>
      <c r="B391" s="2" t="s">
        <v>5</v>
      </c>
      <c r="C391" s="304">
        <v>197</v>
      </c>
      <c r="D391" s="258">
        <v>294</v>
      </c>
      <c r="E391" s="258">
        <v>315</v>
      </c>
      <c r="F391" s="258">
        <v>425</v>
      </c>
      <c r="G391" s="258">
        <v>309</v>
      </c>
      <c r="H391" s="258">
        <v>511</v>
      </c>
      <c r="I391" s="258">
        <v>510</v>
      </c>
      <c r="J391" s="258">
        <v>526</v>
      </c>
      <c r="K391" s="258">
        <v>513</v>
      </c>
      <c r="L391" s="258">
        <v>418</v>
      </c>
      <c r="M391" s="258">
        <v>251</v>
      </c>
      <c r="N391" s="258">
        <v>73</v>
      </c>
      <c r="O391" s="258">
        <v>696</v>
      </c>
      <c r="P391" s="258">
        <v>445</v>
      </c>
      <c r="Q391" s="310">
        <v>133</v>
      </c>
    </row>
    <row r="392" spans="1:17" ht="10.8" customHeight="1">
      <c r="A392" s="315"/>
      <c r="B392" s="185" t="s">
        <v>7</v>
      </c>
      <c r="C392" s="307">
        <v>308</v>
      </c>
      <c r="D392" s="259">
        <v>451</v>
      </c>
      <c r="E392" s="259">
        <v>508</v>
      </c>
      <c r="F392" s="259">
        <v>693</v>
      </c>
      <c r="G392" s="259">
        <v>648</v>
      </c>
      <c r="H392" s="259">
        <v>851</v>
      </c>
      <c r="I392" s="259">
        <v>905</v>
      </c>
      <c r="J392" s="259">
        <v>1119</v>
      </c>
      <c r="K392" s="259">
        <v>1257</v>
      </c>
      <c r="L392" s="259">
        <v>1349</v>
      </c>
      <c r="M392" s="259">
        <v>1397</v>
      </c>
      <c r="N392" s="259">
        <v>1440</v>
      </c>
      <c r="O392" s="259">
        <v>1357</v>
      </c>
      <c r="P392" s="259">
        <v>1108</v>
      </c>
      <c r="Q392" s="309">
        <v>861</v>
      </c>
    </row>
    <row r="393" spans="1:17" ht="10.5" customHeight="1">
      <c r="A393" s="300">
        <v>8</v>
      </c>
      <c r="B393" s="184" t="s">
        <v>2</v>
      </c>
      <c r="C393" s="318">
        <v>41.9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221" t="s">
        <v>21</v>
      </c>
    </row>
    <row r="394" spans="1:17" ht="9" customHeight="1">
      <c r="A394" s="314"/>
      <c r="B394" s="2" t="s">
        <v>3</v>
      </c>
      <c r="C394" s="304">
        <v>160</v>
      </c>
      <c r="D394" s="258">
        <v>216</v>
      </c>
      <c r="E394" s="258">
        <v>262</v>
      </c>
      <c r="F394" s="258">
        <v>333</v>
      </c>
      <c r="G394" s="258">
        <v>388</v>
      </c>
      <c r="H394" s="258">
        <v>408</v>
      </c>
      <c r="I394" s="258">
        <v>438</v>
      </c>
      <c r="J394" s="258">
        <v>575</v>
      </c>
      <c r="K394" s="258">
        <v>647</v>
      </c>
      <c r="L394" s="258">
        <v>799</v>
      </c>
      <c r="M394" s="258">
        <v>840</v>
      </c>
      <c r="N394" s="258">
        <v>899</v>
      </c>
      <c r="O394" s="258">
        <v>845</v>
      </c>
      <c r="P394" s="258">
        <v>697</v>
      </c>
      <c r="Q394" s="310">
        <v>482</v>
      </c>
    </row>
    <row r="395" spans="1:17" ht="9.3000000000000007" customHeight="1">
      <c r="A395" s="314"/>
      <c r="B395" s="2" t="s">
        <v>5</v>
      </c>
      <c r="C395" s="304">
        <v>181</v>
      </c>
      <c r="D395" s="258">
        <v>271</v>
      </c>
      <c r="E395" s="258">
        <v>304</v>
      </c>
      <c r="F395" s="258">
        <v>394</v>
      </c>
      <c r="G395" s="258">
        <v>309</v>
      </c>
      <c r="H395" s="258">
        <v>493</v>
      </c>
      <c r="I395" s="258">
        <v>513</v>
      </c>
      <c r="J395" s="258">
        <v>524</v>
      </c>
      <c r="K395" s="258">
        <v>546</v>
      </c>
      <c r="L395" s="258">
        <v>457</v>
      </c>
      <c r="M395" s="258">
        <v>395</v>
      </c>
      <c r="N395" s="258">
        <v>254</v>
      </c>
      <c r="O395" s="258">
        <v>80</v>
      </c>
      <c r="P395" s="258">
        <v>696</v>
      </c>
      <c r="Q395" s="310">
        <v>481</v>
      </c>
    </row>
    <row r="396" spans="1:17" ht="10.8" customHeight="1">
      <c r="A396" s="315"/>
      <c r="B396" s="185" t="s">
        <v>7</v>
      </c>
      <c r="C396" s="307">
        <v>284</v>
      </c>
      <c r="D396" s="259">
        <v>419</v>
      </c>
      <c r="E396" s="259">
        <v>484</v>
      </c>
      <c r="F396" s="259">
        <v>646</v>
      </c>
      <c r="G396" s="259">
        <v>618</v>
      </c>
      <c r="H396" s="259">
        <v>811</v>
      </c>
      <c r="I396" s="259">
        <v>872</v>
      </c>
      <c r="J396" s="259">
        <v>1048</v>
      </c>
      <c r="K396" s="259">
        <v>1210</v>
      </c>
      <c r="L396" s="259">
        <v>1304</v>
      </c>
      <c r="M396" s="259">
        <v>1408</v>
      </c>
      <c r="N396" s="259">
        <v>1444</v>
      </c>
      <c r="O396" s="259">
        <v>1465</v>
      </c>
      <c r="P396" s="259">
        <v>1273</v>
      </c>
      <c r="Q396" s="309">
        <v>1135</v>
      </c>
    </row>
    <row r="397" spans="1:17" ht="10.5" customHeight="1">
      <c r="A397" s="300">
        <v>9</v>
      </c>
      <c r="B397" s="184" t="s">
        <v>2</v>
      </c>
      <c r="C397" s="318">
        <v>41.9</v>
      </c>
      <c r="D397" s="262">
        <v>44.7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221" t="s">
        <v>21</v>
      </c>
    </row>
    <row r="398" spans="1:17" ht="9" customHeight="1">
      <c r="A398" s="314"/>
      <c r="B398" s="2" t="s">
        <v>3</v>
      </c>
      <c r="C398" s="304">
        <v>151</v>
      </c>
      <c r="D398" s="258">
        <v>204</v>
      </c>
      <c r="E398" s="258">
        <v>248</v>
      </c>
      <c r="F398" s="258">
        <v>320</v>
      </c>
      <c r="G398" s="258">
        <v>370</v>
      </c>
      <c r="H398" s="258">
        <v>395</v>
      </c>
      <c r="I398" s="258">
        <v>425</v>
      </c>
      <c r="J398" s="258">
        <v>563</v>
      </c>
      <c r="K398" s="258">
        <v>666</v>
      </c>
      <c r="L398" s="258">
        <v>788</v>
      </c>
      <c r="M398" s="258">
        <v>880</v>
      </c>
      <c r="N398" s="258">
        <v>915</v>
      </c>
      <c r="O398" s="258">
        <v>926</v>
      </c>
      <c r="P398" s="258">
        <v>771</v>
      </c>
      <c r="Q398" s="310">
        <v>733</v>
      </c>
    </row>
    <row r="399" spans="1:17" ht="9.3000000000000007" customHeight="1">
      <c r="A399" s="314"/>
      <c r="B399" s="2" t="s">
        <v>5</v>
      </c>
      <c r="C399" s="304">
        <v>165</v>
      </c>
      <c r="D399" s="258">
        <v>244</v>
      </c>
      <c r="E399" s="258">
        <v>290</v>
      </c>
      <c r="F399" s="258">
        <v>371</v>
      </c>
      <c r="G399" s="258">
        <v>300</v>
      </c>
      <c r="H399" s="258">
        <v>468</v>
      </c>
      <c r="I399" s="258">
        <v>498</v>
      </c>
      <c r="J399" s="258">
        <v>522</v>
      </c>
      <c r="K399" s="258">
        <v>573</v>
      </c>
      <c r="L399" s="258">
        <v>469</v>
      </c>
      <c r="M399" s="258">
        <v>460</v>
      </c>
      <c r="N399" s="258">
        <v>321</v>
      </c>
      <c r="O399" s="258">
        <v>267</v>
      </c>
      <c r="P399" s="258">
        <v>771</v>
      </c>
      <c r="Q399" s="310">
        <v>733</v>
      </c>
    </row>
    <row r="400" spans="1:17" ht="10.8" customHeight="1">
      <c r="A400" s="315"/>
      <c r="B400" s="185" t="s">
        <v>7</v>
      </c>
      <c r="C400" s="307">
        <v>261</v>
      </c>
      <c r="D400" s="259">
        <v>382</v>
      </c>
      <c r="E400" s="259">
        <v>457</v>
      </c>
      <c r="F400" s="259">
        <v>610</v>
      </c>
      <c r="G400" s="259">
        <v>587</v>
      </c>
      <c r="H400" s="259">
        <v>770</v>
      </c>
      <c r="I400" s="259">
        <v>832</v>
      </c>
      <c r="J400" s="259">
        <v>1014</v>
      </c>
      <c r="K400" s="259">
        <v>1204</v>
      </c>
      <c r="L400" s="259">
        <v>1264</v>
      </c>
      <c r="M400" s="259">
        <v>1436</v>
      </c>
      <c r="N400" s="259">
        <v>1439</v>
      </c>
      <c r="O400" s="259">
        <v>1490</v>
      </c>
      <c r="P400" s="259">
        <v>1316</v>
      </c>
      <c r="Q400" s="309">
        <v>1305</v>
      </c>
    </row>
    <row r="401" spans="1:17" ht="10.5" customHeight="1">
      <c r="A401" s="300">
        <v>10</v>
      </c>
      <c r="B401" s="184" t="s">
        <v>2</v>
      </c>
      <c r="C401" s="318">
        <v>36.700000000000003</v>
      </c>
      <c r="D401" s="262">
        <v>44.6</v>
      </c>
      <c r="E401" s="262">
        <v>52.6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221" t="s">
        <v>21</v>
      </c>
    </row>
    <row r="402" spans="1:17" ht="9" customHeight="1">
      <c r="A402" s="314"/>
      <c r="B402" s="2" t="s">
        <v>3</v>
      </c>
      <c r="C402" s="304">
        <v>126</v>
      </c>
      <c r="D402" s="258">
        <v>188</v>
      </c>
      <c r="E402" s="258">
        <v>235</v>
      </c>
      <c r="F402" s="258">
        <v>301</v>
      </c>
      <c r="G402" s="258">
        <v>354</v>
      </c>
      <c r="H402" s="258">
        <v>375</v>
      </c>
      <c r="I402" s="258">
        <v>412</v>
      </c>
      <c r="J402" s="258">
        <v>541</v>
      </c>
      <c r="K402" s="258">
        <v>643</v>
      </c>
      <c r="L402" s="258">
        <v>775</v>
      </c>
      <c r="M402" s="258">
        <v>868</v>
      </c>
      <c r="N402" s="258">
        <v>921</v>
      </c>
      <c r="O402" s="258">
        <v>946</v>
      </c>
      <c r="P402" s="258">
        <v>854</v>
      </c>
      <c r="Q402" s="310">
        <v>810</v>
      </c>
    </row>
    <row r="403" spans="1:17" ht="9.3000000000000007" customHeight="1">
      <c r="A403" s="314"/>
      <c r="B403" s="2" t="s">
        <v>5</v>
      </c>
      <c r="C403" s="304">
        <v>129</v>
      </c>
      <c r="D403" s="258">
        <v>215</v>
      </c>
      <c r="E403" s="258">
        <v>277</v>
      </c>
      <c r="F403" s="258">
        <v>340</v>
      </c>
      <c r="G403" s="258">
        <v>292</v>
      </c>
      <c r="H403" s="258">
        <v>430</v>
      </c>
      <c r="I403" s="258">
        <v>485</v>
      </c>
      <c r="J403" s="258">
        <v>509</v>
      </c>
      <c r="K403" s="258">
        <v>569</v>
      </c>
      <c r="L403" s="258">
        <v>483</v>
      </c>
      <c r="M403" s="258">
        <v>498</v>
      </c>
      <c r="N403" s="258">
        <v>386</v>
      </c>
      <c r="O403" s="258">
        <v>336</v>
      </c>
      <c r="P403" s="258">
        <v>90</v>
      </c>
      <c r="Q403" s="310">
        <v>810</v>
      </c>
    </row>
    <row r="404" spans="1:17" ht="10.8" customHeight="1">
      <c r="A404" s="315"/>
      <c r="B404" s="185" t="s">
        <v>7</v>
      </c>
      <c r="C404" s="307">
        <v>208</v>
      </c>
      <c r="D404" s="259">
        <v>340</v>
      </c>
      <c r="E404" s="259">
        <v>432</v>
      </c>
      <c r="F404" s="259">
        <v>559</v>
      </c>
      <c r="G404" s="259">
        <v>559</v>
      </c>
      <c r="H404" s="259">
        <v>711</v>
      </c>
      <c r="I404" s="259">
        <v>796</v>
      </c>
      <c r="J404" s="259">
        <v>964</v>
      </c>
      <c r="K404" s="259">
        <v>1126</v>
      </c>
      <c r="L404" s="259">
        <v>1214</v>
      </c>
      <c r="M404" s="259">
        <v>1381</v>
      </c>
      <c r="N404" s="259">
        <v>1417</v>
      </c>
      <c r="O404" s="259">
        <v>1482</v>
      </c>
      <c r="P404" s="259">
        <v>1358</v>
      </c>
      <c r="Q404" s="309">
        <v>1358</v>
      </c>
    </row>
    <row r="405" spans="1:17" ht="10.5" customHeight="1">
      <c r="A405" s="300" t="s">
        <v>555</v>
      </c>
      <c r="B405" s="184" t="s">
        <v>2</v>
      </c>
      <c r="C405" s="318">
        <v>36.1</v>
      </c>
      <c r="D405" s="262">
        <v>41.6</v>
      </c>
      <c r="E405" s="262">
        <v>55.4</v>
      </c>
      <c r="F405" s="262">
        <v>45.5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221" t="s">
        <v>21</v>
      </c>
    </row>
    <row r="406" spans="1:17" ht="9" customHeight="1">
      <c r="A406" s="314"/>
      <c r="B406" s="2" t="s">
        <v>3</v>
      </c>
      <c r="C406" s="304">
        <v>122</v>
      </c>
      <c r="D406" s="258">
        <v>169</v>
      </c>
      <c r="E406" s="258">
        <v>221</v>
      </c>
      <c r="F406" s="258">
        <v>272</v>
      </c>
      <c r="G406" s="258">
        <v>341</v>
      </c>
      <c r="H406" s="258">
        <v>336</v>
      </c>
      <c r="I406" s="258">
        <v>398</v>
      </c>
      <c r="J406" s="258">
        <v>491</v>
      </c>
      <c r="K406" s="258">
        <v>627</v>
      </c>
      <c r="L406" s="258">
        <v>710</v>
      </c>
      <c r="M406" s="258">
        <v>857</v>
      </c>
      <c r="N406" s="258">
        <v>860</v>
      </c>
      <c r="O406" s="258">
        <v>957</v>
      </c>
      <c r="P406" s="258">
        <v>824</v>
      </c>
      <c r="Q406" s="310">
        <v>893</v>
      </c>
    </row>
    <row r="407" spans="1:17" ht="9.3000000000000007" customHeight="1">
      <c r="A407" s="314"/>
      <c r="B407" s="2" t="s">
        <v>5</v>
      </c>
      <c r="C407" s="304">
        <v>123</v>
      </c>
      <c r="D407" s="258">
        <v>187</v>
      </c>
      <c r="E407" s="258">
        <v>264</v>
      </c>
      <c r="F407" s="258">
        <v>298</v>
      </c>
      <c r="G407" s="258">
        <v>284</v>
      </c>
      <c r="H407" s="258">
        <v>373</v>
      </c>
      <c r="I407" s="258">
        <v>472</v>
      </c>
      <c r="J407" s="258">
        <v>470</v>
      </c>
      <c r="K407" s="258">
        <v>564</v>
      </c>
      <c r="L407" s="258">
        <v>461</v>
      </c>
      <c r="M407" s="258">
        <v>509</v>
      </c>
      <c r="N407" s="258">
        <v>395</v>
      </c>
      <c r="O407" s="258">
        <v>402</v>
      </c>
      <c r="P407" s="258">
        <v>132</v>
      </c>
      <c r="Q407" s="310">
        <v>70</v>
      </c>
    </row>
    <row r="408" spans="1:17" ht="10.8" customHeight="1">
      <c r="A408" s="315"/>
      <c r="B408" s="185" t="s">
        <v>7</v>
      </c>
      <c r="C408" s="307">
        <v>199</v>
      </c>
      <c r="D408" s="259">
        <v>299</v>
      </c>
      <c r="E408" s="259">
        <v>408</v>
      </c>
      <c r="F408" s="259">
        <v>493</v>
      </c>
      <c r="G408" s="259">
        <v>537</v>
      </c>
      <c r="H408" s="259">
        <v>620</v>
      </c>
      <c r="I408" s="259">
        <v>767</v>
      </c>
      <c r="J408" s="259">
        <v>871</v>
      </c>
      <c r="K408" s="259">
        <v>1087</v>
      </c>
      <c r="L408" s="259">
        <v>1108</v>
      </c>
      <c r="M408" s="259">
        <v>1338</v>
      </c>
      <c r="N408" s="259">
        <v>1311</v>
      </c>
      <c r="O408" s="259">
        <v>1456</v>
      </c>
      <c r="P408" s="259">
        <v>1282</v>
      </c>
      <c r="Q408" s="309">
        <v>1411</v>
      </c>
    </row>
    <row r="409" spans="1:17" ht="10.5" customHeight="1">
      <c r="A409" s="300" t="s">
        <v>554</v>
      </c>
      <c r="B409" s="184" t="s">
        <v>2</v>
      </c>
      <c r="C409" s="318">
        <v>43.5</v>
      </c>
      <c r="D409" s="262">
        <v>53.1</v>
      </c>
      <c r="E409" s="262">
        <v>53.7</v>
      </c>
      <c r="F409" s="262">
        <v>74.099999999999994</v>
      </c>
      <c r="G409" s="262">
        <v>58.3</v>
      </c>
      <c r="H409" s="262">
        <v>89.8</v>
      </c>
      <c r="I409" s="85" t="s">
        <v>21</v>
      </c>
      <c r="J409" s="85" t="s">
        <v>21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221" t="s">
        <v>21</v>
      </c>
    </row>
    <row r="410" spans="1:17" ht="9" customHeight="1">
      <c r="A410" s="314"/>
      <c r="B410" s="2" t="s">
        <v>3</v>
      </c>
      <c r="C410" s="304">
        <v>125</v>
      </c>
      <c r="D410" s="258">
        <v>173</v>
      </c>
      <c r="E410" s="258">
        <v>203</v>
      </c>
      <c r="F410" s="258">
        <v>287</v>
      </c>
      <c r="G410" s="258">
        <v>320</v>
      </c>
      <c r="H410" s="258">
        <v>370</v>
      </c>
      <c r="I410" s="258">
        <v>378</v>
      </c>
      <c r="J410" s="258">
        <v>575</v>
      </c>
      <c r="K410" s="258">
        <v>599</v>
      </c>
      <c r="L410" s="258">
        <v>853</v>
      </c>
      <c r="M410" s="258">
        <v>839</v>
      </c>
      <c r="N410" s="258">
        <v>1047</v>
      </c>
      <c r="O410" s="258">
        <v>897</v>
      </c>
      <c r="P410" s="258">
        <v>1095</v>
      </c>
      <c r="Q410" s="310">
        <v>871</v>
      </c>
    </row>
    <row r="411" spans="1:17" ht="9.3000000000000007" customHeight="1">
      <c r="A411" s="314"/>
      <c r="B411" s="2" t="s">
        <v>5</v>
      </c>
      <c r="C411" s="304">
        <v>125</v>
      </c>
      <c r="D411" s="258">
        <v>189</v>
      </c>
      <c r="E411" s="258">
        <v>247</v>
      </c>
      <c r="F411" s="258">
        <v>308</v>
      </c>
      <c r="G411" s="258">
        <v>271</v>
      </c>
      <c r="H411" s="258">
        <v>406</v>
      </c>
      <c r="I411" s="258">
        <v>453</v>
      </c>
      <c r="J411" s="258">
        <v>559</v>
      </c>
      <c r="K411" s="258">
        <v>548</v>
      </c>
      <c r="L411" s="258">
        <v>613</v>
      </c>
      <c r="M411" s="258">
        <v>522</v>
      </c>
      <c r="N411" s="258">
        <v>585</v>
      </c>
      <c r="O411" s="258">
        <v>410</v>
      </c>
      <c r="P411" s="258">
        <v>430</v>
      </c>
      <c r="Q411" s="310">
        <v>157</v>
      </c>
    </row>
    <row r="412" spans="1:17" ht="10.8" customHeight="1">
      <c r="A412" s="315"/>
      <c r="B412" s="185" t="s">
        <v>7</v>
      </c>
      <c r="C412" s="307">
        <v>199</v>
      </c>
      <c r="D412" s="259">
        <v>296</v>
      </c>
      <c r="E412" s="259">
        <v>377</v>
      </c>
      <c r="F412" s="259">
        <v>496</v>
      </c>
      <c r="G412" s="259">
        <v>504</v>
      </c>
      <c r="H412" s="259">
        <v>651</v>
      </c>
      <c r="I412" s="259">
        <v>726</v>
      </c>
      <c r="J412" s="259">
        <v>957</v>
      </c>
      <c r="K412" s="259">
        <v>1032</v>
      </c>
      <c r="L412" s="259">
        <v>1252</v>
      </c>
      <c r="M412" s="259">
        <v>1284</v>
      </c>
      <c r="N412" s="259">
        <v>1481</v>
      </c>
      <c r="O412" s="259">
        <v>1344</v>
      </c>
      <c r="P412" s="259">
        <v>1560</v>
      </c>
      <c r="Q412" s="309">
        <v>1330</v>
      </c>
    </row>
    <row r="413" spans="1:17" ht="10.5" customHeight="1">
      <c r="A413" s="300">
        <v>14</v>
      </c>
      <c r="B413" s="184" t="s">
        <v>2</v>
      </c>
      <c r="C413" s="318">
        <v>39.799999999999997</v>
      </c>
      <c r="D413" s="262">
        <v>48.5</v>
      </c>
      <c r="E413" s="262">
        <v>49.5</v>
      </c>
      <c r="F413" s="262">
        <v>68.7</v>
      </c>
      <c r="G413" s="262">
        <v>56.7</v>
      </c>
      <c r="H413" s="262">
        <v>85.9</v>
      </c>
      <c r="I413" s="85" t="s">
        <v>21</v>
      </c>
      <c r="J413" s="85" t="s">
        <v>21</v>
      </c>
      <c r="K413" s="85" t="s">
        <v>21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221" t="s">
        <v>21</v>
      </c>
    </row>
    <row r="414" spans="1:17" ht="9" customHeight="1">
      <c r="A414" s="314"/>
      <c r="B414" s="2" t="s">
        <v>3</v>
      </c>
      <c r="C414" s="304">
        <v>112</v>
      </c>
      <c r="D414" s="258">
        <v>154</v>
      </c>
      <c r="E414" s="258">
        <v>182</v>
      </c>
      <c r="F414" s="258">
        <v>255</v>
      </c>
      <c r="G414" s="258">
        <v>289</v>
      </c>
      <c r="H414" s="258">
        <v>332</v>
      </c>
      <c r="I414" s="258">
        <v>341</v>
      </c>
      <c r="J414" s="258">
        <v>519</v>
      </c>
      <c r="K414" s="258">
        <v>541</v>
      </c>
      <c r="L414" s="258">
        <v>772</v>
      </c>
      <c r="M414" s="258">
        <v>765</v>
      </c>
      <c r="N414" s="258">
        <v>956</v>
      </c>
      <c r="O414" s="258">
        <v>1075</v>
      </c>
      <c r="P414" s="258">
        <v>1041</v>
      </c>
      <c r="Q414" s="310">
        <v>1132</v>
      </c>
    </row>
    <row r="415" spans="1:17" ht="9.3000000000000007" customHeight="1">
      <c r="A415" s="314"/>
      <c r="B415" s="2" t="s">
        <v>5</v>
      </c>
      <c r="C415" s="304">
        <v>110</v>
      </c>
      <c r="D415" s="258">
        <v>163</v>
      </c>
      <c r="E415" s="258">
        <v>224</v>
      </c>
      <c r="F415" s="258">
        <v>267</v>
      </c>
      <c r="G415" s="258">
        <v>249</v>
      </c>
      <c r="H415" s="258">
        <v>354</v>
      </c>
      <c r="I415" s="258">
        <v>413</v>
      </c>
      <c r="J415" s="258">
        <v>512</v>
      </c>
      <c r="K415" s="258">
        <v>504</v>
      </c>
      <c r="L415" s="258">
        <v>569</v>
      </c>
      <c r="M415" s="258">
        <v>496</v>
      </c>
      <c r="N415" s="258">
        <v>568</v>
      </c>
      <c r="O415" s="258">
        <v>602</v>
      </c>
      <c r="P415" s="258">
        <v>453</v>
      </c>
      <c r="Q415" s="310">
        <v>454</v>
      </c>
    </row>
    <row r="416" spans="1:17" ht="10.8" customHeight="1">
      <c r="A416" s="387"/>
      <c r="B416" s="393" t="s">
        <v>7</v>
      </c>
      <c r="C416" s="370">
        <v>176</v>
      </c>
      <c r="D416" s="371">
        <v>257</v>
      </c>
      <c r="E416" s="371">
        <v>339</v>
      </c>
      <c r="F416" s="371">
        <v>432</v>
      </c>
      <c r="G416" s="371">
        <v>456</v>
      </c>
      <c r="H416" s="371">
        <v>572</v>
      </c>
      <c r="I416" s="371">
        <v>655</v>
      </c>
      <c r="J416" s="371">
        <v>862</v>
      </c>
      <c r="K416" s="371">
        <v>931</v>
      </c>
      <c r="L416" s="371">
        <v>1130</v>
      </c>
      <c r="M416" s="371">
        <v>1168</v>
      </c>
      <c r="N416" s="371">
        <v>1344</v>
      </c>
      <c r="O416" s="371">
        <v>1510</v>
      </c>
      <c r="P416" s="371">
        <v>1436</v>
      </c>
      <c r="Q416" s="372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34:R134"/>
    <mergeCell ref="A214:R214"/>
    <mergeCell ref="A215:B216"/>
    <mergeCell ref="C215:Q215"/>
    <mergeCell ref="A77:W77"/>
    <mergeCell ref="A78:A79"/>
    <mergeCell ref="B78:U78"/>
    <mergeCell ref="U80:U87"/>
    <mergeCell ref="U88:U104"/>
    <mergeCell ref="U105:U118"/>
    <mergeCell ref="A135:B136"/>
    <mergeCell ref="C135:Q135"/>
    <mergeCell ref="A374:R374"/>
    <mergeCell ref="A375:B376"/>
    <mergeCell ref="C375:Q375"/>
    <mergeCell ref="A294:R294"/>
    <mergeCell ref="A295:B296"/>
    <mergeCell ref="C295:Q295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48"/>
  <sheetViews>
    <sheetView workbookViewId="0">
      <selection activeCell="G14" sqref="G14"/>
    </sheetView>
  </sheetViews>
  <sheetFormatPr defaultRowHeight="13.2"/>
  <sheetData>
    <row r="1" spans="1:29" ht="33.75" customHeight="1">
      <c r="A1" s="475" t="s">
        <v>353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</row>
    <row r="2" spans="1:29" ht="12.75" customHeight="1">
      <c r="A2" s="450" t="s">
        <v>11</v>
      </c>
      <c r="B2" s="450" t="s">
        <v>12</v>
      </c>
      <c r="C2" s="450"/>
      <c r="D2" s="470" t="s">
        <v>13</v>
      </c>
      <c r="E2" s="486" t="s">
        <v>14</v>
      </c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7"/>
      <c r="AC2" s="487"/>
    </row>
    <row r="3" spans="1:29" ht="12" customHeight="1">
      <c r="A3" s="452"/>
      <c r="B3" s="452"/>
      <c r="C3" s="452"/>
      <c r="D3" s="471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68">
        <v>1800</v>
      </c>
      <c r="C4" s="468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65">
        <v>1500</v>
      </c>
      <c r="C5" s="465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65">
        <v>1200</v>
      </c>
      <c r="C6" s="465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67">
        <v>1000</v>
      </c>
      <c r="C7" s="467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68">
        <v>1800</v>
      </c>
      <c r="C8" s="468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65">
        <v>1500</v>
      </c>
      <c r="C9" s="465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65">
        <v>1200</v>
      </c>
      <c r="C10" s="465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67">
        <v>1000</v>
      </c>
      <c r="C11" s="467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68">
        <v>1800</v>
      </c>
      <c r="C12" s="468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65">
        <v>1500</v>
      </c>
      <c r="C13" s="465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65">
        <v>1200</v>
      </c>
      <c r="C14" s="465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67">
        <v>1000</v>
      </c>
      <c r="C15" s="467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68">
        <v>1800</v>
      </c>
      <c r="C16" s="468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65">
        <v>1500</v>
      </c>
      <c r="C17" s="465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65">
        <v>1200</v>
      </c>
      <c r="C18" s="465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67">
        <v>1000</v>
      </c>
      <c r="C19" s="467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68">
        <v>1800</v>
      </c>
      <c r="C20" s="468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65">
        <v>1500</v>
      </c>
      <c r="C21" s="465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65">
        <v>1200</v>
      </c>
      <c r="C22" s="465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67">
        <v>1000</v>
      </c>
      <c r="C23" s="467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68">
        <v>1800</v>
      </c>
      <c r="C24" s="468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65">
        <v>1500</v>
      </c>
      <c r="C25" s="465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65">
        <v>1200</v>
      </c>
      <c r="C26" s="465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67">
        <v>1000</v>
      </c>
      <c r="C27" s="467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68">
        <v>1800</v>
      </c>
      <c r="C28" s="468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65">
        <v>1500</v>
      </c>
      <c r="C29" s="465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65">
        <v>1200</v>
      </c>
      <c r="C30" s="465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67">
        <v>1000</v>
      </c>
      <c r="C31" s="467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68">
        <v>1800</v>
      </c>
      <c r="C32" s="468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65">
        <v>1500</v>
      </c>
      <c r="C33" s="465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65">
        <v>1200</v>
      </c>
      <c r="C34" s="465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67">
        <v>1000</v>
      </c>
      <c r="C35" s="467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68">
        <v>1800</v>
      </c>
      <c r="C36" s="468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65">
        <v>1500</v>
      </c>
      <c r="C37" s="465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65">
        <v>1200</v>
      </c>
      <c r="C38" s="465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67">
        <v>1000</v>
      </c>
      <c r="C39" s="467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68">
        <v>1800</v>
      </c>
      <c r="C40" s="468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65">
        <v>1500</v>
      </c>
      <c r="C41" s="465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65">
        <v>1200</v>
      </c>
      <c r="C42" s="465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67">
        <v>1000</v>
      </c>
      <c r="C43" s="467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68">
        <v>1800</v>
      </c>
      <c r="C44" s="468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65">
        <v>1500</v>
      </c>
      <c r="C45" s="465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65">
        <v>1200</v>
      </c>
      <c r="C46" s="465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67">
        <v>1000</v>
      </c>
      <c r="C47" s="467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68">
        <v>1800</v>
      </c>
      <c r="C48" s="468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65">
        <v>1500</v>
      </c>
      <c r="C49" s="465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65">
        <v>1200</v>
      </c>
      <c r="C50" s="465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67">
        <v>1000</v>
      </c>
      <c r="C51" s="467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68">
        <v>1800</v>
      </c>
      <c r="C52" s="468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65">
        <v>1500</v>
      </c>
      <c r="C53" s="465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65">
        <v>1200</v>
      </c>
      <c r="C54" s="465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67">
        <v>1000</v>
      </c>
      <c r="C55" s="467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68">
        <v>1800</v>
      </c>
      <c r="C56" s="468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65">
        <v>1500</v>
      </c>
      <c r="C57" s="465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65">
        <v>1200</v>
      </c>
      <c r="C58" s="465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65">
        <v>1000</v>
      </c>
      <c r="C59" s="465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68">
        <v>1800</v>
      </c>
      <c r="C60" s="468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65">
        <v>1500</v>
      </c>
      <c r="C61" s="465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65">
        <v>1200</v>
      </c>
      <c r="C62" s="465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67">
        <v>1000</v>
      </c>
      <c r="C63" s="467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68">
        <v>1800</v>
      </c>
      <c r="C64" s="468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65">
        <v>1500</v>
      </c>
      <c r="C65" s="465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65">
        <v>1200</v>
      </c>
      <c r="C66" s="465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67">
        <v>1000</v>
      </c>
      <c r="C67" s="467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68">
        <v>1800</v>
      </c>
      <c r="C68" s="468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65">
        <v>1500</v>
      </c>
      <c r="C69" s="465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65">
        <v>1200</v>
      </c>
      <c r="C70" s="465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67">
        <v>1000</v>
      </c>
      <c r="C71" s="467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68">
        <v>1800</v>
      </c>
      <c r="C72" s="468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65">
        <v>1500</v>
      </c>
      <c r="C73" s="465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65">
        <v>1200</v>
      </c>
      <c r="C74" s="465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2"/>
      <c r="B75" s="466">
        <v>1000</v>
      </c>
      <c r="C75" s="466"/>
      <c r="D75" s="388">
        <v>11.1</v>
      </c>
      <c r="E75" s="378" t="s">
        <v>1</v>
      </c>
      <c r="F75" s="379" t="s">
        <v>1</v>
      </c>
      <c r="G75" s="371">
        <v>16</v>
      </c>
      <c r="H75" s="379" t="s">
        <v>1</v>
      </c>
      <c r="I75" s="371">
        <v>29</v>
      </c>
      <c r="J75" s="379" t="s">
        <v>1</v>
      </c>
      <c r="K75" s="371">
        <v>49</v>
      </c>
      <c r="L75" s="379" t="s">
        <v>1</v>
      </c>
      <c r="M75" s="372">
        <v>87</v>
      </c>
      <c r="N75" s="378" t="s">
        <v>1</v>
      </c>
      <c r="O75" s="371">
        <v>131</v>
      </c>
      <c r="P75" s="379" t="s">
        <v>1</v>
      </c>
      <c r="Q75" s="379" t="s">
        <v>1</v>
      </c>
      <c r="R75" s="379" t="s">
        <v>1</v>
      </c>
      <c r="S75" s="379" t="s">
        <v>1</v>
      </c>
      <c r="T75" s="379" t="s">
        <v>1</v>
      </c>
      <c r="U75" s="379" t="s">
        <v>1</v>
      </c>
      <c r="V75" s="379" t="s">
        <v>1</v>
      </c>
      <c r="W75" s="379" t="s">
        <v>1</v>
      </c>
      <c r="X75" s="379" t="s">
        <v>1</v>
      </c>
      <c r="Y75" s="379" t="s">
        <v>1</v>
      </c>
      <c r="Z75" s="379" t="s">
        <v>1</v>
      </c>
      <c r="AA75" s="379" t="s">
        <v>1</v>
      </c>
      <c r="AB75" s="379" t="s">
        <v>1</v>
      </c>
      <c r="AC75" s="380" t="s">
        <v>1</v>
      </c>
    </row>
    <row r="76" spans="1:29" ht="11.4" customHeight="1"/>
    <row r="77" spans="1:29" ht="36.75" customHeight="1">
      <c r="A77" s="449" t="s">
        <v>455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</row>
    <row r="78" spans="1:29" ht="12.3" customHeight="1">
      <c r="A78" s="478" t="s">
        <v>69</v>
      </c>
      <c r="B78" s="473" t="s">
        <v>14</v>
      </c>
      <c r="C78" s="474"/>
      <c r="D78" s="474"/>
      <c r="E78" s="474"/>
      <c r="F78" s="474"/>
      <c r="G78" s="474"/>
      <c r="H78" s="474"/>
      <c r="I78" s="474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</row>
    <row r="79" spans="1:29" ht="12" customHeight="1">
      <c r="A79" s="479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56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57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57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57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57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57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57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61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58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59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59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59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59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59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59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59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59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59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59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59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59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59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59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59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60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62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63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63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63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63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63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63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63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63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63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63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63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63"/>
    </row>
    <row r="118" spans="1:27" ht="12" customHeight="1">
      <c r="A118" s="381">
        <v>400</v>
      </c>
      <c r="B118" s="404" t="s">
        <v>1</v>
      </c>
      <c r="C118" s="408" t="s">
        <v>1</v>
      </c>
      <c r="D118" s="409">
        <v>14.5</v>
      </c>
      <c r="E118" s="408" t="s">
        <v>1</v>
      </c>
      <c r="F118" s="409">
        <v>25.5</v>
      </c>
      <c r="G118" s="408" t="s">
        <v>1</v>
      </c>
      <c r="H118" s="405">
        <v>43</v>
      </c>
      <c r="I118" s="408" t="s">
        <v>1</v>
      </c>
      <c r="J118" s="405">
        <v>75</v>
      </c>
      <c r="K118" s="404" t="s">
        <v>1</v>
      </c>
      <c r="L118" s="405">
        <v>113</v>
      </c>
      <c r="M118" s="406" t="s">
        <v>1</v>
      </c>
      <c r="N118" s="406" t="s">
        <v>1</v>
      </c>
      <c r="O118" s="406" t="s">
        <v>1</v>
      </c>
      <c r="P118" s="406" t="s">
        <v>1</v>
      </c>
      <c r="Q118" s="406" t="s">
        <v>1</v>
      </c>
      <c r="R118" s="407" t="s">
        <v>1</v>
      </c>
      <c r="S118" s="406" t="s">
        <v>1</v>
      </c>
      <c r="T118" s="406" t="s">
        <v>1</v>
      </c>
      <c r="U118" s="406" t="s">
        <v>1</v>
      </c>
      <c r="V118" s="406" t="s">
        <v>1</v>
      </c>
      <c r="W118" s="406" t="s">
        <v>1</v>
      </c>
      <c r="X118" s="407" t="s">
        <v>1</v>
      </c>
      <c r="Y118" s="407" t="s">
        <v>1</v>
      </c>
      <c r="Z118" s="407" t="s">
        <v>1</v>
      </c>
      <c r="AA118" s="485"/>
    </row>
    <row r="134" spans="1:23" ht="44.55" customHeight="1">
      <c r="A134" s="449" t="s">
        <v>458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  <c r="U134" s="449"/>
      <c r="V134" s="449"/>
      <c r="W134" s="449"/>
    </row>
    <row r="135" spans="1:23" ht="12.3" customHeight="1">
      <c r="A135" s="450" t="s">
        <v>69</v>
      </c>
      <c r="B135" s="450"/>
      <c r="C135" s="487" t="s">
        <v>14</v>
      </c>
      <c r="D135" s="487"/>
      <c r="E135" s="487"/>
      <c r="F135" s="487"/>
      <c r="G135" s="487"/>
      <c r="H135" s="487"/>
      <c r="I135" s="487"/>
      <c r="J135" s="487"/>
      <c r="K135" s="487"/>
      <c r="L135" s="487"/>
      <c r="M135" s="487"/>
      <c r="N135" s="487"/>
      <c r="O135" s="487"/>
      <c r="P135" s="487"/>
      <c r="Q135" s="487"/>
      <c r="R135" s="487"/>
      <c r="S135" s="487"/>
      <c r="T135" s="487"/>
      <c r="U135" s="487"/>
    </row>
    <row r="136" spans="1:23" ht="9" customHeight="1">
      <c r="A136" s="452"/>
      <c r="B136" s="452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64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3" ht="10.5" customHeight="1">
      <c r="A137" s="58" t="s">
        <v>554</v>
      </c>
      <c r="B137" s="329" t="s">
        <v>2</v>
      </c>
      <c r="C137" s="318">
        <v>46.3</v>
      </c>
      <c r="D137" s="262">
        <v>61.8</v>
      </c>
      <c r="E137" s="85" t="s">
        <v>1</v>
      </c>
      <c r="F137" s="262">
        <v>95.2</v>
      </c>
      <c r="G137" s="85" t="s">
        <v>1</v>
      </c>
      <c r="H137" s="237">
        <v>125</v>
      </c>
      <c r="I137" s="85" t="s">
        <v>1</v>
      </c>
      <c r="J137" s="237">
        <v>173</v>
      </c>
      <c r="K137" s="85" t="s">
        <v>1</v>
      </c>
      <c r="L137" s="237">
        <v>229</v>
      </c>
      <c r="M137" s="85" t="s">
        <v>1</v>
      </c>
      <c r="N137" s="237">
        <v>274</v>
      </c>
      <c r="O137" s="85" t="s">
        <v>1</v>
      </c>
      <c r="P137" s="237">
        <v>259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1</v>
      </c>
    </row>
    <row r="138" spans="1:23" ht="9" customHeight="1">
      <c r="A138" s="1"/>
      <c r="B138" s="296" t="s">
        <v>3</v>
      </c>
      <c r="C138" s="319">
        <v>81.900000000000006</v>
      </c>
      <c r="D138" s="258">
        <v>116</v>
      </c>
      <c r="E138" s="146" t="s">
        <v>1</v>
      </c>
      <c r="F138" s="258">
        <v>180</v>
      </c>
      <c r="G138" s="146" t="s">
        <v>1</v>
      </c>
      <c r="H138" s="258">
        <v>248</v>
      </c>
      <c r="I138" s="146" t="s">
        <v>1</v>
      </c>
      <c r="J138" s="258">
        <v>404</v>
      </c>
      <c r="K138" s="146" t="s">
        <v>1</v>
      </c>
      <c r="L138" s="258">
        <v>545</v>
      </c>
      <c r="M138" s="146" t="s">
        <v>1</v>
      </c>
      <c r="N138" s="258">
        <v>709</v>
      </c>
      <c r="O138" s="146" t="s">
        <v>1</v>
      </c>
      <c r="P138" s="258">
        <v>923</v>
      </c>
      <c r="Q138" s="146" t="s">
        <v>1</v>
      </c>
      <c r="R138" s="258">
        <v>1021</v>
      </c>
      <c r="S138" s="146" t="s">
        <v>1</v>
      </c>
      <c r="T138" s="258">
        <v>1135</v>
      </c>
      <c r="U138" s="223" t="s">
        <v>1</v>
      </c>
    </row>
    <row r="139" spans="1:23" ht="9.3000000000000007" customHeight="1">
      <c r="A139" s="1"/>
      <c r="B139" s="296" t="s">
        <v>5</v>
      </c>
      <c r="C139" s="319">
        <v>95.3</v>
      </c>
      <c r="D139" s="258">
        <v>158</v>
      </c>
      <c r="E139" s="146" t="s">
        <v>1</v>
      </c>
      <c r="F139" s="258">
        <v>249</v>
      </c>
      <c r="G139" s="146" t="s">
        <v>1</v>
      </c>
      <c r="H139" s="258">
        <v>415</v>
      </c>
      <c r="I139" s="146" t="s">
        <v>1</v>
      </c>
      <c r="J139" s="258">
        <v>498</v>
      </c>
      <c r="K139" s="146" t="s">
        <v>1</v>
      </c>
      <c r="L139" s="258">
        <v>570</v>
      </c>
      <c r="M139" s="146" t="s">
        <v>1</v>
      </c>
      <c r="N139" s="258">
        <v>665</v>
      </c>
      <c r="O139" s="146" t="s">
        <v>1</v>
      </c>
      <c r="P139" s="258">
        <v>673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1</v>
      </c>
    </row>
    <row r="140" spans="1:23" ht="10.8" customHeight="1">
      <c r="A140" s="45"/>
      <c r="B140" s="297" t="s">
        <v>7</v>
      </c>
      <c r="C140" s="307">
        <v>128</v>
      </c>
      <c r="D140" s="259">
        <v>206</v>
      </c>
      <c r="E140" s="149" t="s">
        <v>1</v>
      </c>
      <c r="F140" s="259">
        <v>324</v>
      </c>
      <c r="G140" s="149" t="s">
        <v>1</v>
      </c>
      <c r="H140" s="259">
        <v>521</v>
      </c>
      <c r="I140" s="149" t="s">
        <v>1</v>
      </c>
      <c r="J140" s="259">
        <v>703</v>
      </c>
      <c r="K140" s="149" t="s">
        <v>1</v>
      </c>
      <c r="L140" s="259">
        <v>853</v>
      </c>
      <c r="M140" s="149" t="s">
        <v>1</v>
      </c>
      <c r="N140" s="259">
        <v>1054</v>
      </c>
      <c r="O140" s="149" t="s">
        <v>1</v>
      </c>
      <c r="P140" s="259">
        <v>1282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1</v>
      </c>
    </row>
    <row r="141" spans="1:23" ht="10.5" customHeight="1">
      <c r="A141" s="58">
        <v>14</v>
      </c>
      <c r="B141" s="329" t="s">
        <v>2</v>
      </c>
      <c r="C141" s="318">
        <v>44.8</v>
      </c>
      <c r="D141" s="262">
        <v>59.8</v>
      </c>
      <c r="E141" s="85" t="s">
        <v>1</v>
      </c>
      <c r="F141" s="262">
        <v>92.3</v>
      </c>
      <c r="G141" s="85" t="s">
        <v>1</v>
      </c>
      <c r="H141" s="237">
        <v>122</v>
      </c>
      <c r="I141" s="85" t="s">
        <v>1</v>
      </c>
      <c r="J141" s="237">
        <v>169</v>
      </c>
      <c r="K141" s="85" t="s">
        <v>1</v>
      </c>
      <c r="L141" s="237">
        <v>230</v>
      </c>
      <c r="M141" s="85" t="s">
        <v>1</v>
      </c>
      <c r="N141" s="237">
        <v>269</v>
      </c>
      <c r="O141" s="237">
        <v>290</v>
      </c>
      <c r="P141" s="237">
        <v>251</v>
      </c>
      <c r="Q141" s="237">
        <v>292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3" ht="9" customHeight="1">
      <c r="A142" s="1"/>
      <c r="B142" s="296" t="s">
        <v>3</v>
      </c>
      <c r="C142" s="319">
        <v>79.2</v>
      </c>
      <c r="D142" s="258">
        <v>112</v>
      </c>
      <c r="E142" s="146" t="s">
        <v>1</v>
      </c>
      <c r="F142" s="258">
        <v>174</v>
      </c>
      <c r="G142" s="146" t="s">
        <v>1</v>
      </c>
      <c r="H142" s="258">
        <v>242</v>
      </c>
      <c r="I142" s="146" t="s">
        <v>1</v>
      </c>
      <c r="J142" s="258">
        <v>394</v>
      </c>
      <c r="K142" s="146" t="s">
        <v>1</v>
      </c>
      <c r="L142" s="258">
        <v>546</v>
      </c>
      <c r="M142" s="146" t="s">
        <v>1</v>
      </c>
      <c r="N142" s="258">
        <v>692</v>
      </c>
      <c r="O142" s="258">
        <v>737</v>
      </c>
      <c r="P142" s="258">
        <v>885</v>
      </c>
      <c r="Q142" s="258">
        <v>983</v>
      </c>
      <c r="R142" s="258">
        <v>1000</v>
      </c>
      <c r="S142" s="258">
        <v>1090</v>
      </c>
      <c r="T142" s="258">
        <v>1115</v>
      </c>
      <c r="U142" s="310">
        <v>1170</v>
      </c>
    </row>
    <row r="143" spans="1:23" ht="9.3000000000000007" customHeight="1">
      <c r="A143" s="1"/>
      <c r="B143" s="296" t="s">
        <v>5</v>
      </c>
      <c r="C143" s="319">
        <v>92.2</v>
      </c>
      <c r="D143" s="258">
        <v>153</v>
      </c>
      <c r="E143" s="146" t="s">
        <v>1</v>
      </c>
      <c r="F143" s="258">
        <v>241</v>
      </c>
      <c r="G143" s="146" t="s">
        <v>1</v>
      </c>
      <c r="H143" s="258">
        <v>404</v>
      </c>
      <c r="I143" s="146" t="s">
        <v>1</v>
      </c>
      <c r="J143" s="258">
        <v>485</v>
      </c>
      <c r="K143" s="146" t="s">
        <v>1</v>
      </c>
      <c r="L143" s="258">
        <v>572</v>
      </c>
      <c r="M143" s="146" t="s">
        <v>1</v>
      </c>
      <c r="N143" s="258">
        <v>648</v>
      </c>
      <c r="O143" s="258">
        <v>681</v>
      </c>
      <c r="P143" s="258">
        <v>647</v>
      </c>
      <c r="Q143" s="258">
        <v>717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3" ht="10.8" customHeight="1">
      <c r="A144" s="45"/>
      <c r="B144" s="297" t="s">
        <v>7</v>
      </c>
      <c r="C144" s="307">
        <v>124</v>
      </c>
      <c r="D144" s="259">
        <v>199</v>
      </c>
      <c r="E144" s="149" t="s">
        <v>1</v>
      </c>
      <c r="F144" s="259">
        <v>313</v>
      </c>
      <c r="G144" s="149" t="s">
        <v>1</v>
      </c>
      <c r="H144" s="259">
        <v>508</v>
      </c>
      <c r="I144" s="149" t="s">
        <v>1</v>
      </c>
      <c r="J144" s="259">
        <v>686</v>
      </c>
      <c r="K144" s="149" t="s">
        <v>1</v>
      </c>
      <c r="L144" s="259">
        <v>855</v>
      </c>
      <c r="M144" s="149" t="s">
        <v>1</v>
      </c>
      <c r="N144" s="259">
        <v>1026</v>
      </c>
      <c r="O144" s="259">
        <v>1080</v>
      </c>
      <c r="P144" s="259">
        <v>1227</v>
      </c>
      <c r="Q144" s="259">
        <v>1351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58">
        <v>16</v>
      </c>
      <c r="B145" s="329" t="s">
        <v>2</v>
      </c>
      <c r="C145" s="318">
        <v>43.2</v>
      </c>
      <c r="D145" s="262">
        <v>58.4</v>
      </c>
      <c r="E145" s="262">
        <v>67.099999999999994</v>
      </c>
      <c r="F145" s="262">
        <v>88.4</v>
      </c>
      <c r="G145" s="262">
        <v>103.8</v>
      </c>
      <c r="H145" s="237">
        <v>119</v>
      </c>
      <c r="I145" s="237">
        <v>134</v>
      </c>
      <c r="J145" s="237">
        <v>166</v>
      </c>
      <c r="K145" s="237">
        <v>194</v>
      </c>
      <c r="L145" s="237">
        <v>223</v>
      </c>
      <c r="M145" s="237">
        <v>253</v>
      </c>
      <c r="N145" s="237">
        <v>284</v>
      </c>
      <c r="O145" s="237">
        <v>285</v>
      </c>
      <c r="P145" s="237">
        <v>296</v>
      </c>
      <c r="Q145" s="237">
        <v>273</v>
      </c>
      <c r="R145" s="85" t="s">
        <v>21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1"/>
      <c r="B146" s="296" t="s">
        <v>3</v>
      </c>
      <c r="C146" s="319">
        <v>76</v>
      </c>
      <c r="D146" s="258">
        <v>109</v>
      </c>
      <c r="E146" s="258">
        <v>123</v>
      </c>
      <c r="F146" s="258">
        <v>166</v>
      </c>
      <c r="G146" s="258">
        <v>190</v>
      </c>
      <c r="H146" s="258">
        <v>235</v>
      </c>
      <c r="I146" s="258">
        <v>260</v>
      </c>
      <c r="J146" s="258">
        <v>380</v>
      </c>
      <c r="K146" s="258">
        <v>434</v>
      </c>
      <c r="L146" s="258">
        <v>512</v>
      </c>
      <c r="M146" s="258">
        <v>578</v>
      </c>
      <c r="N146" s="258">
        <v>689</v>
      </c>
      <c r="O146" s="258">
        <v>716</v>
      </c>
      <c r="P146" s="258">
        <v>902</v>
      </c>
      <c r="Q146" s="258">
        <v>906</v>
      </c>
      <c r="R146" s="258">
        <v>996</v>
      </c>
      <c r="S146" s="258">
        <v>1038</v>
      </c>
      <c r="T146" s="258">
        <v>1140</v>
      </c>
      <c r="U146" s="310">
        <v>1144</v>
      </c>
    </row>
    <row r="147" spans="1:21" ht="9.3000000000000007" customHeight="1">
      <c r="A147" s="1"/>
      <c r="B147" s="296" t="s">
        <v>5</v>
      </c>
      <c r="C147" s="319">
        <v>88.3</v>
      </c>
      <c r="D147" s="258">
        <v>148</v>
      </c>
      <c r="E147" s="258">
        <v>161</v>
      </c>
      <c r="F147" s="258">
        <v>228</v>
      </c>
      <c r="G147" s="258">
        <v>254</v>
      </c>
      <c r="H147" s="258">
        <v>391</v>
      </c>
      <c r="I147" s="258">
        <v>423</v>
      </c>
      <c r="J147" s="258">
        <v>467</v>
      </c>
      <c r="K147" s="258">
        <v>518</v>
      </c>
      <c r="L147" s="258">
        <v>534</v>
      </c>
      <c r="M147" s="258">
        <v>596</v>
      </c>
      <c r="N147" s="258">
        <v>647</v>
      </c>
      <c r="O147" s="258">
        <v>662</v>
      </c>
      <c r="P147" s="258">
        <v>673</v>
      </c>
      <c r="Q147" s="258">
        <v>663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45"/>
      <c r="B148" s="297" t="s">
        <v>7</v>
      </c>
      <c r="C148" s="307">
        <v>118</v>
      </c>
      <c r="D148" s="259">
        <v>193</v>
      </c>
      <c r="E148" s="259">
        <v>211</v>
      </c>
      <c r="F148" s="259">
        <v>297</v>
      </c>
      <c r="G148" s="259">
        <v>330</v>
      </c>
      <c r="H148" s="259">
        <v>490</v>
      </c>
      <c r="I148" s="259">
        <v>531</v>
      </c>
      <c r="J148" s="259">
        <v>657</v>
      </c>
      <c r="K148" s="259">
        <v>733</v>
      </c>
      <c r="L148" s="259">
        <v>793</v>
      </c>
      <c r="M148" s="259">
        <v>890</v>
      </c>
      <c r="N148" s="259">
        <v>1010</v>
      </c>
      <c r="O148" s="259">
        <v>1048</v>
      </c>
      <c r="P148" s="259">
        <v>1234</v>
      </c>
      <c r="Q148" s="259">
        <v>1245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58">
        <v>18</v>
      </c>
      <c r="B149" s="329" t="s">
        <v>2</v>
      </c>
      <c r="C149" s="318">
        <v>41.8</v>
      </c>
      <c r="D149" s="262">
        <v>56.6</v>
      </c>
      <c r="E149" s="262">
        <v>65.2</v>
      </c>
      <c r="F149" s="262">
        <v>85.5</v>
      </c>
      <c r="G149" s="237">
        <v>101</v>
      </c>
      <c r="H149" s="237">
        <v>116</v>
      </c>
      <c r="I149" s="237">
        <v>125</v>
      </c>
      <c r="J149" s="237">
        <v>163</v>
      </c>
      <c r="K149" s="237">
        <v>193</v>
      </c>
      <c r="L149" s="237">
        <v>224</v>
      </c>
      <c r="M149" s="237">
        <v>254</v>
      </c>
      <c r="N149" s="237">
        <v>279</v>
      </c>
      <c r="O149" s="237">
        <v>300</v>
      </c>
      <c r="P149" s="237">
        <v>285</v>
      </c>
      <c r="Q149" s="237">
        <v>330</v>
      </c>
      <c r="R149" s="85" t="s">
        <v>21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1"/>
      <c r="B150" s="296" t="s">
        <v>3</v>
      </c>
      <c r="C150" s="319">
        <v>73.599999999999994</v>
      </c>
      <c r="D150" s="258">
        <v>106</v>
      </c>
      <c r="E150" s="258">
        <v>119</v>
      </c>
      <c r="F150" s="258">
        <v>160</v>
      </c>
      <c r="G150" s="258">
        <v>185</v>
      </c>
      <c r="H150" s="258">
        <v>229</v>
      </c>
      <c r="I150" s="258">
        <v>243</v>
      </c>
      <c r="J150" s="258">
        <v>371</v>
      </c>
      <c r="K150" s="258">
        <v>433</v>
      </c>
      <c r="L150" s="258">
        <v>513</v>
      </c>
      <c r="M150" s="258">
        <v>579</v>
      </c>
      <c r="N150" s="258">
        <v>671</v>
      </c>
      <c r="O150" s="258">
        <v>714</v>
      </c>
      <c r="P150" s="258">
        <v>863</v>
      </c>
      <c r="Q150" s="258">
        <v>959</v>
      </c>
      <c r="R150" s="258">
        <v>970</v>
      </c>
      <c r="S150" s="258">
        <v>1056</v>
      </c>
      <c r="T150" s="258">
        <v>1119</v>
      </c>
      <c r="U150" s="310">
        <v>1175</v>
      </c>
    </row>
    <row r="151" spans="1:21" ht="9.3000000000000007" customHeight="1">
      <c r="A151" s="1"/>
      <c r="B151" s="296" t="s">
        <v>5</v>
      </c>
      <c r="C151" s="319">
        <v>85.4</v>
      </c>
      <c r="D151" s="258">
        <v>143</v>
      </c>
      <c r="E151" s="258">
        <v>156</v>
      </c>
      <c r="F151" s="258">
        <v>220</v>
      </c>
      <c r="G151" s="258">
        <v>246</v>
      </c>
      <c r="H151" s="258">
        <v>380</v>
      </c>
      <c r="I151" s="258">
        <v>394</v>
      </c>
      <c r="J151" s="258">
        <v>455</v>
      </c>
      <c r="K151" s="258">
        <v>517</v>
      </c>
      <c r="L151" s="258">
        <v>535</v>
      </c>
      <c r="M151" s="258">
        <v>598</v>
      </c>
      <c r="N151" s="258">
        <v>630</v>
      </c>
      <c r="O151" s="258">
        <v>662</v>
      </c>
      <c r="P151" s="258">
        <v>645</v>
      </c>
      <c r="Q151" s="258">
        <v>714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45"/>
      <c r="B152" s="297" t="s">
        <v>7</v>
      </c>
      <c r="C152" s="307">
        <v>114</v>
      </c>
      <c r="D152" s="259">
        <v>186</v>
      </c>
      <c r="E152" s="259">
        <v>204</v>
      </c>
      <c r="F152" s="259">
        <v>287</v>
      </c>
      <c r="G152" s="259">
        <v>321</v>
      </c>
      <c r="H152" s="259">
        <v>478</v>
      </c>
      <c r="I152" s="259">
        <v>495</v>
      </c>
      <c r="J152" s="259">
        <v>640</v>
      </c>
      <c r="K152" s="259">
        <v>731</v>
      </c>
      <c r="L152" s="259">
        <v>794</v>
      </c>
      <c r="M152" s="259">
        <v>891</v>
      </c>
      <c r="N152" s="259">
        <v>982</v>
      </c>
      <c r="O152" s="259">
        <v>1035</v>
      </c>
      <c r="P152" s="259">
        <v>1179</v>
      </c>
      <c r="Q152" s="259">
        <v>1302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58">
        <v>20</v>
      </c>
      <c r="B153" s="329" t="s">
        <v>2</v>
      </c>
      <c r="C153" s="318">
        <v>39.299999999999997</v>
      </c>
      <c r="D153" s="262">
        <v>54.5</v>
      </c>
      <c r="E153" s="262">
        <v>63.3</v>
      </c>
      <c r="F153" s="262">
        <v>82.1</v>
      </c>
      <c r="G153" s="262">
        <v>95.9</v>
      </c>
      <c r="H153" s="237">
        <v>112</v>
      </c>
      <c r="I153" s="237">
        <v>128</v>
      </c>
      <c r="J153" s="237">
        <v>157</v>
      </c>
      <c r="K153" s="237">
        <v>186</v>
      </c>
      <c r="L153" s="237">
        <v>211</v>
      </c>
      <c r="M153" s="237">
        <v>245</v>
      </c>
      <c r="N153" s="237">
        <v>273</v>
      </c>
      <c r="O153" s="237">
        <v>292</v>
      </c>
      <c r="P153" s="237">
        <v>284</v>
      </c>
      <c r="Q153" s="237">
        <v>306</v>
      </c>
      <c r="R153" s="237">
        <v>257</v>
      </c>
      <c r="S153" s="237">
        <v>280</v>
      </c>
      <c r="T153" s="237">
        <v>308</v>
      </c>
      <c r="U153" s="316">
        <v>328</v>
      </c>
    </row>
    <row r="154" spans="1:21" ht="9" customHeight="1">
      <c r="A154" s="1"/>
      <c r="B154" s="296" t="s">
        <v>3</v>
      </c>
      <c r="C154" s="319">
        <v>68.900000000000006</v>
      </c>
      <c r="D154" s="258">
        <v>101</v>
      </c>
      <c r="E154" s="258">
        <v>116</v>
      </c>
      <c r="F154" s="258">
        <v>154</v>
      </c>
      <c r="G154" s="258">
        <v>174</v>
      </c>
      <c r="H154" s="258">
        <v>220</v>
      </c>
      <c r="I154" s="258">
        <v>245</v>
      </c>
      <c r="J154" s="258">
        <v>356</v>
      </c>
      <c r="K154" s="258">
        <v>407</v>
      </c>
      <c r="L154" s="258">
        <v>484</v>
      </c>
      <c r="M154" s="258">
        <v>541</v>
      </c>
      <c r="N154" s="258">
        <v>648</v>
      </c>
      <c r="O154" s="258">
        <v>692</v>
      </c>
      <c r="P154" s="258">
        <v>836</v>
      </c>
      <c r="Q154" s="258">
        <v>882</v>
      </c>
      <c r="R154" s="258">
        <v>942</v>
      </c>
      <c r="S154" s="258">
        <v>1003</v>
      </c>
      <c r="T154" s="258">
        <v>1090</v>
      </c>
      <c r="U154" s="310">
        <v>1145</v>
      </c>
    </row>
    <row r="155" spans="1:21" ht="9.3000000000000007" customHeight="1">
      <c r="A155" s="1"/>
      <c r="B155" s="296" t="s">
        <v>5</v>
      </c>
      <c r="C155" s="319">
        <v>80.099999999999994</v>
      </c>
      <c r="D155" s="258">
        <v>137</v>
      </c>
      <c r="E155" s="258">
        <v>150</v>
      </c>
      <c r="F155" s="258">
        <v>211</v>
      </c>
      <c r="G155" s="258">
        <v>232</v>
      </c>
      <c r="H155" s="258">
        <v>364</v>
      </c>
      <c r="I155" s="258">
        <v>398</v>
      </c>
      <c r="J155" s="258">
        <v>436</v>
      </c>
      <c r="K155" s="258">
        <v>485</v>
      </c>
      <c r="L155" s="258">
        <v>505</v>
      </c>
      <c r="M155" s="258">
        <v>558</v>
      </c>
      <c r="N155" s="258">
        <v>608</v>
      </c>
      <c r="O155" s="258">
        <v>642</v>
      </c>
      <c r="P155" s="258">
        <v>628</v>
      </c>
      <c r="Q155" s="258">
        <v>659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45"/>
      <c r="B156" s="297" t="s">
        <v>7</v>
      </c>
      <c r="C156" s="307">
        <v>107</v>
      </c>
      <c r="D156" s="259">
        <v>178</v>
      </c>
      <c r="E156" s="259">
        <v>197</v>
      </c>
      <c r="F156" s="259">
        <v>274</v>
      </c>
      <c r="G156" s="259">
        <v>302</v>
      </c>
      <c r="H156" s="259">
        <v>457</v>
      </c>
      <c r="I156" s="259">
        <v>500</v>
      </c>
      <c r="J156" s="259">
        <v>612</v>
      </c>
      <c r="K156" s="259">
        <v>684</v>
      </c>
      <c r="L156" s="259">
        <v>749</v>
      </c>
      <c r="M156" s="259">
        <v>825</v>
      </c>
      <c r="N156" s="259">
        <v>944</v>
      </c>
      <c r="O156" s="259">
        <v>1003</v>
      </c>
      <c r="P156" s="259">
        <v>1136</v>
      </c>
      <c r="Q156" s="259">
        <v>1196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58" t="s">
        <v>553</v>
      </c>
      <c r="B157" s="329" t="s">
        <v>2</v>
      </c>
      <c r="C157" s="318">
        <v>38.299999999999997</v>
      </c>
      <c r="D157" s="262">
        <v>53.8</v>
      </c>
      <c r="E157" s="262">
        <v>61.5</v>
      </c>
      <c r="F157" s="262">
        <v>79.5</v>
      </c>
      <c r="G157" s="262">
        <v>93.2</v>
      </c>
      <c r="H157" s="237">
        <v>109</v>
      </c>
      <c r="I157" s="237">
        <v>119</v>
      </c>
      <c r="J157" s="237">
        <v>152</v>
      </c>
      <c r="K157" s="237">
        <v>185</v>
      </c>
      <c r="L157" s="237">
        <v>208</v>
      </c>
      <c r="M157" s="237">
        <v>246</v>
      </c>
      <c r="N157" s="237">
        <v>277</v>
      </c>
      <c r="O157" s="237">
        <v>287</v>
      </c>
      <c r="P157" s="237">
        <v>297</v>
      </c>
      <c r="Q157" s="237">
        <v>302</v>
      </c>
      <c r="R157" s="237">
        <v>284</v>
      </c>
      <c r="S157" s="237">
        <v>289</v>
      </c>
      <c r="T157" s="237">
        <v>342</v>
      </c>
      <c r="U157" s="316">
        <v>340</v>
      </c>
    </row>
    <row r="158" spans="1:21" ht="9" customHeight="1">
      <c r="A158" s="1"/>
      <c r="B158" s="296" t="s">
        <v>3</v>
      </c>
      <c r="C158" s="319">
        <v>67</v>
      </c>
      <c r="D158" s="258">
        <v>100</v>
      </c>
      <c r="E158" s="258">
        <v>112</v>
      </c>
      <c r="F158" s="258">
        <v>148</v>
      </c>
      <c r="G158" s="258">
        <v>169</v>
      </c>
      <c r="H158" s="258">
        <v>212</v>
      </c>
      <c r="I158" s="258">
        <v>229</v>
      </c>
      <c r="J158" s="258">
        <v>339</v>
      </c>
      <c r="K158" s="258">
        <v>406</v>
      </c>
      <c r="L158" s="258">
        <v>463</v>
      </c>
      <c r="M158" s="258">
        <v>543</v>
      </c>
      <c r="N158" s="258">
        <v>629</v>
      </c>
      <c r="O158" s="258">
        <v>668</v>
      </c>
      <c r="P158" s="258">
        <v>820</v>
      </c>
      <c r="Q158" s="258">
        <v>855</v>
      </c>
      <c r="R158" s="258">
        <v>940</v>
      </c>
      <c r="S158" s="258">
        <v>971</v>
      </c>
      <c r="T158" s="258">
        <v>1090</v>
      </c>
      <c r="U158" s="310">
        <v>1113</v>
      </c>
    </row>
    <row r="159" spans="1:21" ht="9.3000000000000007" customHeight="1">
      <c r="A159" s="1"/>
      <c r="B159" s="296" t="s">
        <v>5</v>
      </c>
      <c r="C159" s="319">
        <v>77.8</v>
      </c>
      <c r="D159" s="258">
        <v>136</v>
      </c>
      <c r="E159" s="258">
        <v>146</v>
      </c>
      <c r="F159" s="258">
        <v>203</v>
      </c>
      <c r="G159" s="258">
        <v>226</v>
      </c>
      <c r="H159" s="258">
        <v>353</v>
      </c>
      <c r="I159" s="258">
        <v>371</v>
      </c>
      <c r="J159" s="258">
        <v>418</v>
      </c>
      <c r="K159" s="258">
        <v>484</v>
      </c>
      <c r="L159" s="258">
        <v>486</v>
      </c>
      <c r="M159" s="258">
        <v>559</v>
      </c>
      <c r="N159" s="258">
        <v>595</v>
      </c>
      <c r="O159" s="258">
        <v>620</v>
      </c>
      <c r="P159" s="258">
        <v>625</v>
      </c>
      <c r="Q159" s="258">
        <v>642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45"/>
      <c r="B160" s="297" t="s">
        <v>7</v>
      </c>
      <c r="C160" s="307">
        <v>104</v>
      </c>
      <c r="D160" s="259">
        <v>177</v>
      </c>
      <c r="E160" s="259">
        <v>191</v>
      </c>
      <c r="F160" s="259">
        <v>263</v>
      </c>
      <c r="G160" s="259">
        <v>294</v>
      </c>
      <c r="H160" s="259">
        <v>442</v>
      </c>
      <c r="I160" s="259">
        <v>465</v>
      </c>
      <c r="J160" s="259">
        <v>584</v>
      </c>
      <c r="K160" s="259">
        <v>682</v>
      </c>
      <c r="L160" s="259">
        <v>715</v>
      </c>
      <c r="M160" s="259">
        <v>827</v>
      </c>
      <c r="N160" s="259">
        <v>914</v>
      </c>
      <c r="O160" s="259">
        <v>964</v>
      </c>
      <c r="P160" s="259">
        <v>1108</v>
      </c>
      <c r="Q160" s="259">
        <v>1151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58">
        <v>25</v>
      </c>
      <c r="B161" s="329" t="s">
        <v>2</v>
      </c>
      <c r="C161" s="318">
        <v>36.4</v>
      </c>
      <c r="D161" s="262">
        <v>51.4</v>
      </c>
      <c r="E161" s="262">
        <v>59.1</v>
      </c>
      <c r="F161" s="262">
        <v>77.099999999999994</v>
      </c>
      <c r="G161" s="262">
        <v>89.5</v>
      </c>
      <c r="H161" s="237">
        <v>105</v>
      </c>
      <c r="I161" s="237">
        <v>115</v>
      </c>
      <c r="J161" s="237">
        <v>146</v>
      </c>
      <c r="K161" s="237">
        <v>179</v>
      </c>
      <c r="L161" s="237">
        <v>202</v>
      </c>
      <c r="M161" s="237">
        <v>232</v>
      </c>
      <c r="N161" s="237">
        <v>267</v>
      </c>
      <c r="O161" s="237">
        <v>289</v>
      </c>
      <c r="P161" s="237">
        <v>298</v>
      </c>
      <c r="Q161" s="237">
        <v>315</v>
      </c>
      <c r="R161" s="237">
        <v>310</v>
      </c>
      <c r="S161" s="237">
        <v>313</v>
      </c>
      <c r="T161" s="237">
        <v>370</v>
      </c>
      <c r="U161" s="316">
        <v>371</v>
      </c>
    </row>
    <row r="162" spans="1:21" ht="9" customHeight="1">
      <c r="A162" s="1"/>
      <c r="B162" s="296" t="s">
        <v>3</v>
      </c>
      <c r="C162" s="319">
        <v>63.3</v>
      </c>
      <c r="D162" s="320">
        <v>94.7</v>
      </c>
      <c r="E162" s="258">
        <v>107</v>
      </c>
      <c r="F162" s="258">
        <v>142</v>
      </c>
      <c r="G162" s="258">
        <v>162</v>
      </c>
      <c r="H162" s="258">
        <v>201</v>
      </c>
      <c r="I162" s="258">
        <v>220</v>
      </c>
      <c r="J162" s="258">
        <v>318</v>
      </c>
      <c r="K162" s="258">
        <v>390</v>
      </c>
      <c r="L162" s="258">
        <v>437</v>
      </c>
      <c r="M162" s="258">
        <v>512</v>
      </c>
      <c r="N162" s="258">
        <v>588</v>
      </c>
      <c r="O162" s="258">
        <v>648</v>
      </c>
      <c r="P162" s="258">
        <v>772</v>
      </c>
      <c r="Q162" s="258">
        <v>838</v>
      </c>
      <c r="R162" s="258">
        <v>925</v>
      </c>
      <c r="S162" s="258">
        <v>967</v>
      </c>
      <c r="T162" s="258">
        <v>1070</v>
      </c>
      <c r="U162" s="310">
        <v>1112</v>
      </c>
    </row>
    <row r="163" spans="1:21" ht="9.3000000000000007" customHeight="1">
      <c r="A163" s="1"/>
      <c r="B163" s="296" t="s">
        <v>5</v>
      </c>
      <c r="C163" s="319">
        <v>73.3</v>
      </c>
      <c r="D163" s="258">
        <v>129</v>
      </c>
      <c r="E163" s="258">
        <v>140</v>
      </c>
      <c r="F163" s="258">
        <v>196</v>
      </c>
      <c r="G163" s="258">
        <v>216</v>
      </c>
      <c r="H163" s="258">
        <v>331</v>
      </c>
      <c r="I163" s="258">
        <v>355</v>
      </c>
      <c r="J163" s="258">
        <v>396</v>
      </c>
      <c r="K163" s="258">
        <v>464</v>
      </c>
      <c r="L163" s="258">
        <v>463</v>
      </c>
      <c r="M163" s="258">
        <v>528</v>
      </c>
      <c r="N163" s="258">
        <v>562</v>
      </c>
      <c r="O163" s="258">
        <v>606</v>
      </c>
      <c r="P163" s="258">
        <v>601</v>
      </c>
      <c r="Q163" s="258">
        <v>638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45"/>
      <c r="B164" s="297" t="s">
        <v>7</v>
      </c>
      <c r="C164" s="321">
        <v>97.9</v>
      </c>
      <c r="D164" s="259">
        <v>167</v>
      </c>
      <c r="E164" s="259">
        <v>183</v>
      </c>
      <c r="F164" s="259">
        <v>253</v>
      </c>
      <c r="G164" s="259">
        <v>281</v>
      </c>
      <c r="H164" s="259">
        <v>413</v>
      </c>
      <c r="I164" s="259">
        <v>445</v>
      </c>
      <c r="J164" s="259">
        <v>550</v>
      </c>
      <c r="K164" s="259">
        <v>652</v>
      </c>
      <c r="L164" s="259">
        <v>675</v>
      </c>
      <c r="M164" s="259">
        <v>779</v>
      </c>
      <c r="N164" s="259">
        <v>854</v>
      </c>
      <c r="O164" s="259">
        <v>932</v>
      </c>
      <c r="P164" s="259">
        <v>1037</v>
      </c>
      <c r="Q164" s="259">
        <v>1123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58">
        <v>28</v>
      </c>
      <c r="B165" s="329" t="s">
        <v>2</v>
      </c>
      <c r="C165" s="318">
        <v>35.1</v>
      </c>
      <c r="D165" s="262">
        <v>49.8</v>
      </c>
      <c r="E165" s="262">
        <v>58.4</v>
      </c>
      <c r="F165" s="262">
        <v>73.400000000000006</v>
      </c>
      <c r="G165" s="262">
        <v>86.5</v>
      </c>
      <c r="H165" s="237">
        <v>100</v>
      </c>
      <c r="I165" s="237">
        <v>111</v>
      </c>
      <c r="J165" s="237">
        <v>140</v>
      </c>
      <c r="K165" s="237">
        <v>173</v>
      </c>
      <c r="L165" s="237">
        <v>194</v>
      </c>
      <c r="M165" s="237">
        <v>228</v>
      </c>
      <c r="N165" s="237">
        <v>266</v>
      </c>
      <c r="O165" s="237">
        <v>279</v>
      </c>
      <c r="P165" s="237">
        <v>299</v>
      </c>
      <c r="Q165" s="237">
        <v>313</v>
      </c>
      <c r="R165" s="237">
        <v>321</v>
      </c>
      <c r="S165" s="237">
        <v>335</v>
      </c>
      <c r="T165" s="237">
        <v>384</v>
      </c>
      <c r="U165" s="316">
        <v>395</v>
      </c>
    </row>
    <row r="166" spans="1:21" ht="9" customHeight="1">
      <c r="A166" s="1"/>
      <c r="B166" s="296" t="s">
        <v>3</v>
      </c>
      <c r="C166" s="319">
        <v>60.8</v>
      </c>
      <c r="D166" s="320">
        <v>91.2</v>
      </c>
      <c r="E166" s="258">
        <v>106</v>
      </c>
      <c r="F166" s="258">
        <v>134</v>
      </c>
      <c r="G166" s="258">
        <v>156</v>
      </c>
      <c r="H166" s="258">
        <v>191</v>
      </c>
      <c r="I166" s="258">
        <v>212</v>
      </c>
      <c r="J166" s="258">
        <v>302</v>
      </c>
      <c r="K166" s="258">
        <v>371</v>
      </c>
      <c r="L166" s="258">
        <v>415</v>
      </c>
      <c r="M166" s="258">
        <v>488</v>
      </c>
      <c r="N166" s="258">
        <v>571</v>
      </c>
      <c r="O166" s="258">
        <v>605</v>
      </c>
      <c r="P166" s="258">
        <v>754</v>
      </c>
      <c r="Q166" s="258">
        <v>789</v>
      </c>
      <c r="R166" s="258">
        <v>901</v>
      </c>
      <c r="S166" s="258">
        <v>947</v>
      </c>
      <c r="T166" s="258">
        <v>1044</v>
      </c>
      <c r="U166" s="310">
        <v>1090</v>
      </c>
    </row>
    <row r="167" spans="1:21" ht="9.3000000000000007" customHeight="1">
      <c r="A167" s="1"/>
      <c r="B167" s="296" t="s">
        <v>5</v>
      </c>
      <c r="C167" s="319">
        <v>69</v>
      </c>
      <c r="D167" s="258">
        <v>121</v>
      </c>
      <c r="E167" s="258">
        <v>139</v>
      </c>
      <c r="F167" s="258">
        <v>186</v>
      </c>
      <c r="G167" s="258">
        <v>208</v>
      </c>
      <c r="H167" s="258">
        <v>306</v>
      </c>
      <c r="I167" s="258">
        <v>344</v>
      </c>
      <c r="J167" s="258">
        <v>379</v>
      </c>
      <c r="K167" s="258">
        <v>444</v>
      </c>
      <c r="L167" s="258">
        <v>443</v>
      </c>
      <c r="M167" s="258">
        <v>507</v>
      </c>
      <c r="N167" s="258">
        <v>549</v>
      </c>
      <c r="O167" s="258">
        <v>572</v>
      </c>
      <c r="P167" s="258">
        <v>593</v>
      </c>
      <c r="Q167" s="258">
        <v>613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45"/>
      <c r="B168" s="297" t="s">
        <v>7</v>
      </c>
      <c r="C168" s="321">
        <v>92.5</v>
      </c>
      <c r="D168" s="259">
        <v>158</v>
      </c>
      <c r="E168" s="259">
        <v>181</v>
      </c>
      <c r="F168" s="259">
        <v>240</v>
      </c>
      <c r="G168" s="259">
        <v>270</v>
      </c>
      <c r="H168" s="259">
        <v>384</v>
      </c>
      <c r="I168" s="259">
        <v>430</v>
      </c>
      <c r="J168" s="259">
        <v>523</v>
      </c>
      <c r="K168" s="259">
        <v>621</v>
      </c>
      <c r="L168" s="259">
        <v>642</v>
      </c>
      <c r="M168" s="259">
        <v>743</v>
      </c>
      <c r="N168" s="259">
        <v>828</v>
      </c>
      <c r="O168" s="259">
        <v>870</v>
      </c>
      <c r="P168" s="259">
        <v>1012</v>
      </c>
      <c r="Q168" s="259">
        <v>1051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58" t="s">
        <v>556</v>
      </c>
      <c r="B169" s="329" t="s">
        <v>2</v>
      </c>
      <c r="C169" s="318">
        <v>33.4</v>
      </c>
      <c r="D169" s="262">
        <v>47.5</v>
      </c>
      <c r="E169" s="262">
        <v>55.8</v>
      </c>
      <c r="F169" s="262">
        <v>70.099999999999994</v>
      </c>
      <c r="G169" s="262">
        <v>83.7</v>
      </c>
      <c r="H169" s="262">
        <v>96.3</v>
      </c>
      <c r="I169" s="237">
        <v>107</v>
      </c>
      <c r="J169" s="237">
        <v>134</v>
      </c>
      <c r="K169" s="237">
        <v>165</v>
      </c>
      <c r="L169" s="237">
        <v>186</v>
      </c>
      <c r="M169" s="237">
        <v>220</v>
      </c>
      <c r="N169" s="237">
        <v>252</v>
      </c>
      <c r="O169" s="237">
        <v>277</v>
      </c>
      <c r="P169" s="237">
        <v>290</v>
      </c>
      <c r="Q169" s="237">
        <v>314</v>
      </c>
      <c r="R169" s="237">
        <v>325</v>
      </c>
      <c r="S169" s="237">
        <v>344</v>
      </c>
      <c r="T169" s="237">
        <v>387</v>
      </c>
      <c r="U169" s="316">
        <v>407</v>
      </c>
    </row>
    <row r="170" spans="1:21" ht="9" customHeight="1">
      <c r="A170" s="1"/>
      <c r="B170" s="296" t="s">
        <v>3</v>
      </c>
      <c r="C170" s="319">
        <v>57.6</v>
      </c>
      <c r="D170" s="320">
        <v>86.5</v>
      </c>
      <c r="E170" s="258">
        <v>100</v>
      </c>
      <c r="F170" s="258">
        <v>127</v>
      </c>
      <c r="G170" s="258">
        <v>150</v>
      </c>
      <c r="H170" s="258">
        <v>182</v>
      </c>
      <c r="I170" s="258">
        <v>201</v>
      </c>
      <c r="J170" s="258">
        <v>286</v>
      </c>
      <c r="K170" s="258">
        <v>348</v>
      </c>
      <c r="L170" s="258">
        <v>393</v>
      </c>
      <c r="M170" s="258">
        <v>461</v>
      </c>
      <c r="N170" s="258">
        <v>532</v>
      </c>
      <c r="O170" s="258">
        <v>589</v>
      </c>
      <c r="P170" s="258">
        <v>706</v>
      </c>
      <c r="Q170" s="258">
        <v>770</v>
      </c>
      <c r="R170" s="258">
        <v>860</v>
      </c>
      <c r="S170" s="258">
        <v>923</v>
      </c>
      <c r="T170" s="258">
        <v>992</v>
      </c>
      <c r="U170" s="310">
        <v>1061</v>
      </c>
    </row>
    <row r="171" spans="1:21" ht="9.3000000000000007" customHeight="1">
      <c r="A171" s="1"/>
      <c r="B171" s="296" t="s">
        <v>5</v>
      </c>
      <c r="C171" s="319">
        <v>64.5</v>
      </c>
      <c r="D171" s="258">
        <v>113</v>
      </c>
      <c r="E171" s="258">
        <v>131</v>
      </c>
      <c r="F171" s="258">
        <v>178</v>
      </c>
      <c r="G171" s="258">
        <v>200</v>
      </c>
      <c r="H171" s="258">
        <v>286</v>
      </c>
      <c r="I171" s="258">
        <v>327</v>
      </c>
      <c r="J171" s="258">
        <v>361</v>
      </c>
      <c r="K171" s="258">
        <v>421</v>
      </c>
      <c r="L171" s="258">
        <v>423</v>
      </c>
      <c r="M171" s="258">
        <v>483</v>
      </c>
      <c r="N171" s="258">
        <v>517</v>
      </c>
      <c r="O171" s="258">
        <v>559</v>
      </c>
      <c r="P171" s="258">
        <v>563</v>
      </c>
      <c r="Q171" s="258">
        <v>604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45"/>
      <c r="B172" s="297" t="s">
        <v>7</v>
      </c>
      <c r="C172" s="321">
        <v>86.7</v>
      </c>
      <c r="D172" s="259">
        <v>148</v>
      </c>
      <c r="E172" s="259">
        <v>171</v>
      </c>
      <c r="F172" s="259">
        <v>228</v>
      </c>
      <c r="G172" s="259">
        <v>259</v>
      </c>
      <c r="H172" s="259">
        <v>360</v>
      </c>
      <c r="I172" s="259">
        <v>408</v>
      </c>
      <c r="J172" s="259">
        <v>496</v>
      </c>
      <c r="K172" s="259">
        <v>585</v>
      </c>
      <c r="L172" s="259">
        <v>610</v>
      </c>
      <c r="M172" s="259">
        <v>701</v>
      </c>
      <c r="N172" s="259">
        <v>773</v>
      </c>
      <c r="O172" s="259">
        <v>845</v>
      </c>
      <c r="P172" s="259">
        <v>947</v>
      </c>
      <c r="Q172" s="259">
        <v>1024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58" t="s">
        <v>557</v>
      </c>
      <c r="B173" s="329" t="s">
        <v>2</v>
      </c>
      <c r="C173" s="318">
        <v>31.7</v>
      </c>
      <c r="D173" s="262">
        <v>45</v>
      </c>
      <c r="E173" s="262">
        <v>54</v>
      </c>
      <c r="F173" s="262">
        <v>66.7</v>
      </c>
      <c r="G173" s="262">
        <v>79.7</v>
      </c>
      <c r="H173" s="262">
        <v>91.5</v>
      </c>
      <c r="I173" s="237">
        <v>103</v>
      </c>
      <c r="J173" s="237">
        <v>129</v>
      </c>
      <c r="K173" s="237">
        <v>158</v>
      </c>
      <c r="L173" s="237">
        <v>180</v>
      </c>
      <c r="M173" s="237">
        <v>211</v>
      </c>
      <c r="N173" s="237">
        <v>245</v>
      </c>
      <c r="O173" s="237">
        <v>263</v>
      </c>
      <c r="P173" s="237">
        <v>285</v>
      </c>
      <c r="Q173" s="237">
        <v>304</v>
      </c>
      <c r="R173" s="237">
        <v>323</v>
      </c>
      <c r="S173" s="237">
        <v>345</v>
      </c>
      <c r="T173" s="237">
        <v>385</v>
      </c>
      <c r="U173" s="316">
        <v>406</v>
      </c>
    </row>
    <row r="174" spans="1:21" ht="9" customHeight="1">
      <c r="A174" s="1"/>
      <c r="B174" s="296" t="s">
        <v>3</v>
      </c>
      <c r="C174" s="319">
        <v>54.2</v>
      </c>
      <c r="D174" s="320">
        <v>81.099999999999994</v>
      </c>
      <c r="E174" s="320">
        <v>96.7</v>
      </c>
      <c r="F174" s="258">
        <v>120</v>
      </c>
      <c r="G174" s="258">
        <v>142</v>
      </c>
      <c r="H174" s="258">
        <v>171</v>
      </c>
      <c r="I174" s="258">
        <v>191</v>
      </c>
      <c r="J174" s="258">
        <v>274</v>
      </c>
      <c r="K174" s="258">
        <v>330</v>
      </c>
      <c r="L174" s="258">
        <v>378</v>
      </c>
      <c r="M174" s="258">
        <v>437</v>
      </c>
      <c r="N174" s="258">
        <v>512</v>
      </c>
      <c r="O174" s="258">
        <v>549</v>
      </c>
      <c r="P174" s="258">
        <v>680</v>
      </c>
      <c r="Q174" s="258">
        <v>721</v>
      </c>
      <c r="R174" s="258">
        <v>836</v>
      </c>
      <c r="S174" s="258">
        <v>880</v>
      </c>
      <c r="T174" s="258">
        <v>961</v>
      </c>
      <c r="U174" s="310">
        <v>1006</v>
      </c>
    </row>
    <row r="175" spans="1:21" ht="9.3000000000000007" customHeight="1">
      <c r="A175" s="1"/>
      <c r="B175" s="296" t="s">
        <v>5</v>
      </c>
      <c r="C175" s="319">
        <v>59.3</v>
      </c>
      <c r="D175" s="258">
        <v>103</v>
      </c>
      <c r="E175" s="258">
        <v>124</v>
      </c>
      <c r="F175" s="258">
        <v>169</v>
      </c>
      <c r="G175" s="258">
        <v>191</v>
      </c>
      <c r="H175" s="258">
        <v>259</v>
      </c>
      <c r="I175" s="258">
        <v>311</v>
      </c>
      <c r="J175" s="258">
        <v>348</v>
      </c>
      <c r="K175" s="258">
        <v>401</v>
      </c>
      <c r="L175" s="258">
        <v>409</v>
      </c>
      <c r="M175" s="258">
        <v>461</v>
      </c>
      <c r="N175" s="258">
        <v>500</v>
      </c>
      <c r="O175" s="258">
        <v>526</v>
      </c>
      <c r="P175" s="258">
        <v>546</v>
      </c>
      <c r="Q175" s="258">
        <v>573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45"/>
      <c r="B176" s="297" t="s">
        <v>7</v>
      </c>
      <c r="C176" s="321">
        <v>80</v>
      </c>
      <c r="D176" s="259">
        <v>135</v>
      </c>
      <c r="E176" s="259">
        <v>162</v>
      </c>
      <c r="F176" s="259">
        <v>216</v>
      </c>
      <c r="G176" s="259">
        <v>246</v>
      </c>
      <c r="H176" s="259">
        <v>329</v>
      </c>
      <c r="I176" s="259">
        <v>387</v>
      </c>
      <c r="J176" s="259">
        <v>477</v>
      </c>
      <c r="K176" s="259">
        <v>556</v>
      </c>
      <c r="L176" s="259">
        <v>587</v>
      </c>
      <c r="M176" s="259">
        <v>667</v>
      </c>
      <c r="N176" s="259">
        <v>745</v>
      </c>
      <c r="O176" s="259">
        <v>788</v>
      </c>
      <c r="P176" s="259">
        <v>913</v>
      </c>
      <c r="Q176" s="259">
        <v>958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58">
        <v>40</v>
      </c>
      <c r="B177" s="329" t="s">
        <v>2</v>
      </c>
      <c r="C177" s="318">
        <v>27.7</v>
      </c>
      <c r="D177" s="262">
        <v>39.5</v>
      </c>
      <c r="E177" s="262">
        <v>51.5</v>
      </c>
      <c r="F177" s="262">
        <v>58.8</v>
      </c>
      <c r="G177" s="262">
        <v>76.099999999999994</v>
      </c>
      <c r="H177" s="262">
        <v>85.8</v>
      </c>
      <c r="I177" s="262">
        <v>98.4</v>
      </c>
      <c r="J177" s="237">
        <v>122</v>
      </c>
      <c r="K177" s="237">
        <v>151</v>
      </c>
      <c r="L177" s="237">
        <v>172</v>
      </c>
      <c r="M177" s="237">
        <v>202</v>
      </c>
      <c r="N177" s="237">
        <v>235</v>
      </c>
      <c r="O177" s="237">
        <v>255</v>
      </c>
      <c r="P177" s="237">
        <v>275</v>
      </c>
      <c r="Q177" s="237">
        <v>298</v>
      </c>
      <c r="R177" s="237">
        <v>319</v>
      </c>
      <c r="S177" s="237">
        <v>342</v>
      </c>
      <c r="T177" s="237">
        <v>380</v>
      </c>
      <c r="U177" s="316">
        <v>403</v>
      </c>
    </row>
    <row r="178" spans="1:21" ht="9" customHeight="1">
      <c r="A178" s="1"/>
      <c r="B178" s="296" t="s">
        <v>3</v>
      </c>
      <c r="C178" s="319">
        <v>46.8</v>
      </c>
      <c r="D178" s="320">
        <v>70.3</v>
      </c>
      <c r="E178" s="320">
        <v>91.6</v>
      </c>
      <c r="F178" s="258">
        <v>104</v>
      </c>
      <c r="G178" s="258">
        <v>134</v>
      </c>
      <c r="H178" s="258">
        <v>159</v>
      </c>
      <c r="I178" s="258">
        <v>182</v>
      </c>
      <c r="J178" s="258">
        <v>256</v>
      </c>
      <c r="K178" s="258">
        <v>312</v>
      </c>
      <c r="L178" s="258">
        <v>355</v>
      </c>
      <c r="M178" s="258">
        <v>415</v>
      </c>
      <c r="N178" s="258">
        <v>483</v>
      </c>
      <c r="O178" s="258">
        <v>528</v>
      </c>
      <c r="P178" s="258">
        <v>644</v>
      </c>
      <c r="Q178" s="258">
        <v>694</v>
      </c>
      <c r="R178" s="258">
        <v>795</v>
      </c>
      <c r="S178" s="258">
        <v>854</v>
      </c>
      <c r="T178" s="258">
        <v>915</v>
      </c>
      <c r="U178" s="310">
        <v>975</v>
      </c>
    </row>
    <row r="179" spans="1:21" ht="9.3000000000000007" customHeight="1">
      <c r="A179" s="1"/>
      <c r="B179" s="296" t="s">
        <v>5</v>
      </c>
      <c r="C179" s="319">
        <v>49.2</v>
      </c>
      <c r="D179" s="320">
        <v>85.2</v>
      </c>
      <c r="E179" s="258">
        <v>115</v>
      </c>
      <c r="F179" s="258">
        <v>140</v>
      </c>
      <c r="G179" s="258">
        <v>182</v>
      </c>
      <c r="H179" s="258">
        <v>232</v>
      </c>
      <c r="I179" s="258">
        <v>291</v>
      </c>
      <c r="J179" s="258">
        <v>327</v>
      </c>
      <c r="K179" s="258">
        <v>382</v>
      </c>
      <c r="L179" s="258">
        <v>388</v>
      </c>
      <c r="M179" s="258">
        <v>440</v>
      </c>
      <c r="N179" s="258">
        <v>476</v>
      </c>
      <c r="O179" s="258">
        <v>509</v>
      </c>
      <c r="P179" s="258">
        <v>523</v>
      </c>
      <c r="Q179" s="258">
        <v>556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45"/>
      <c r="B180" s="297" t="s">
        <v>7</v>
      </c>
      <c r="C180" s="321">
        <v>66.900000000000006</v>
      </c>
      <c r="D180" s="259">
        <v>113</v>
      </c>
      <c r="E180" s="259">
        <v>151</v>
      </c>
      <c r="F180" s="259">
        <v>180</v>
      </c>
      <c r="G180" s="259">
        <v>234</v>
      </c>
      <c r="H180" s="259">
        <v>296</v>
      </c>
      <c r="I180" s="259">
        <v>363</v>
      </c>
      <c r="J180" s="259">
        <v>446</v>
      </c>
      <c r="K180" s="259">
        <v>526</v>
      </c>
      <c r="L180" s="259">
        <v>554</v>
      </c>
      <c r="M180" s="259">
        <v>633</v>
      </c>
      <c r="N180" s="259">
        <v>704</v>
      </c>
      <c r="O180" s="259">
        <v>759</v>
      </c>
      <c r="P180" s="259">
        <v>866</v>
      </c>
      <c r="Q180" s="259">
        <v>925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58">
        <v>45</v>
      </c>
      <c r="B181" s="329" t="s">
        <v>2</v>
      </c>
      <c r="C181" s="318">
        <v>27</v>
      </c>
      <c r="D181" s="262">
        <v>38.4</v>
      </c>
      <c r="E181" s="262">
        <v>48.7</v>
      </c>
      <c r="F181" s="262">
        <v>57</v>
      </c>
      <c r="G181" s="262">
        <v>72.3</v>
      </c>
      <c r="H181" s="262">
        <v>79.5</v>
      </c>
      <c r="I181" s="262">
        <v>93.7</v>
      </c>
      <c r="J181" s="237">
        <v>113</v>
      </c>
      <c r="K181" s="237">
        <v>146</v>
      </c>
      <c r="L181" s="237">
        <v>158</v>
      </c>
      <c r="M181" s="237">
        <v>196</v>
      </c>
      <c r="N181" s="237">
        <v>218</v>
      </c>
      <c r="O181" s="237">
        <v>244</v>
      </c>
      <c r="P181" s="237">
        <v>259</v>
      </c>
      <c r="Q181" s="237">
        <v>287</v>
      </c>
      <c r="R181" s="237">
        <v>308</v>
      </c>
      <c r="S181" s="237">
        <v>337</v>
      </c>
      <c r="T181" s="237">
        <v>365</v>
      </c>
      <c r="U181" s="316">
        <v>397</v>
      </c>
    </row>
    <row r="182" spans="1:21" ht="9" customHeight="1">
      <c r="A182" s="1"/>
      <c r="B182" s="296" t="s">
        <v>3</v>
      </c>
      <c r="C182" s="319">
        <v>45.5</v>
      </c>
      <c r="D182" s="320">
        <v>68.099999999999994</v>
      </c>
      <c r="E182" s="320">
        <v>86</v>
      </c>
      <c r="F182" s="258">
        <v>101</v>
      </c>
      <c r="G182" s="258">
        <v>126</v>
      </c>
      <c r="H182" s="258">
        <v>146</v>
      </c>
      <c r="I182" s="258">
        <v>171</v>
      </c>
      <c r="J182" s="258">
        <v>236</v>
      </c>
      <c r="K182" s="258">
        <v>299</v>
      </c>
      <c r="L182" s="258">
        <v>325</v>
      </c>
      <c r="M182" s="258">
        <v>399</v>
      </c>
      <c r="N182" s="258">
        <v>445</v>
      </c>
      <c r="O182" s="258">
        <v>498</v>
      </c>
      <c r="P182" s="258">
        <v>597</v>
      </c>
      <c r="Q182" s="258">
        <v>658</v>
      </c>
      <c r="R182" s="258">
        <v>744</v>
      </c>
      <c r="S182" s="258">
        <v>812</v>
      </c>
      <c r="T182" s="258">
        <v>851</v>
      </c>
      <c r="U182" s="310">
        <v>927</v>
      </c>
    </row>
    <row r="183" spans="1:21" ht="9.3000000000000007" customHeight="1">
      <c r="A183" s="1"/>
      <c r="B183" s="296" t="s">
        <v>5</v>
      </c>
      <c r="C183" s="319">
        <v>47.7</v>
      </c>
      <c r="D183" s="320">
        <v>81.8</v>
      </c>
      <c r="E183" s="258">
        <v>105</v>
      </c>
      <c r="F183" s="258">
        <v>133</v>
      </c>
      <c r="G183" s="258">
        <v>173</v>
      </c>
      <c r="H183" s="258">
        <v>208</v>
      </c>
      <c r="I183" s="258">
        <v>264</v>
      </c>
      <c r="J183" s="258">
        <v>294</v>
      </c>
      <c r="K183" s="258">
        <v>368</v>
      </c>
      <c r="L183" s="258">
        <v>359</v>
      </c>
      <c r="M183" s="258">
        <v>425</v>
      </c>
      <c r="N183" s="258">
        <v>443</v>
      </c>
      <c r="O183" s="258">
        <v>485</v>
      </c>
      <c r="P183" s="258">
        <v>490</v>
      </c>
      <c r="Q183" s="258">
        <v>532</v>
      </c>
      <c r="R183" s="146" t="s">
        <v>21</v>
      </c>
      <c r="S183" s="146" t="s">
        <v>21</v>
      </c>
      <c r="T183" s="146" t="s">
        <v>21</v>
      </c>
      <c r="U183" s="223" t="s">
        <v>21</v>
      </c>
    </row>
    <row r="184" spans="1:21" ht="10.95" customHeight="1">
      <c r="A184" s="45"/>
      <c r="B184" s="297" t="s">
        <v>7</v>
      </c>
      <c r="C184" s="321">
        <v>64.900000000000006</v>
      </c>
      <c r="D184" s="259">
        <v>109</v>
      </c>
      <c r="E184" s="259">
        <v>139</v>
      </c>
      <c r="F184" s="259">
        <v>172</v>
      </c>
      <c r="G184" s="259">
        <v>222</v>
      </c>
      <c r="H184" s="259">
        <v>267</v>
      </c>
      <c r="I184" s="259">
        <v>332</v>
      </c>
      <c r="J184" s="259">
        <v>403</v>
      </c>
      <c r="K184" s="259">
        <v>506</v>
      </c>
      <c r="L184" s="259">
        <v>509</v>
      </c>
      <c r="M184" s="259">
        <v>609</v>
      </c>
      <c r="N184" s="259">
        <v>651</v>
      </c>
      <c r="O184" s="259">
        <v>718</v>
      </c>
      <c r="P184" s="259">
        <v>804</v>
      </c>
      <c r="Q184" s="259">
        <v>876</v>
      </c>
      <c r="R184" s="149" t="s">
        <v>21</v>
      </c>
      <c r="S184" s="149" t="s">
        <v>21</v>
      </c>
      <c r="T184" s="149" t="s">
        <v>21</v>
      </c>
      <c r="U184" s="225" t="s">
        <v>21</v>
      </c>
    </row>
    <row r="185" spans="1:21" ht="10.199999999999999" customHeight="1">
      <c r="A185" s="58">
        <v>50</v>
      </c>
      <c r="B185" s="329" t="s">
        <v>2</v>
      </c>
      <c r="C185" s="318">
        <v>27</v>
      </c>
      <c r="D185" s="262">
        <v>38.299999999999997</v>
      </c>
      <c r="E185" s="262">
        <v>42.7</v>
      </c>
      <c r="F185" s="262">
        <v>56.9</v>
      </c>
      <c r="G185" s="262">
        <v>63.7</v>
      </c>
      <c r="H185" s="262">
        <v>79.3</v>
      </c>
      <c r="I185" s="262">
        <v>87.8</v>
      </c>
      <c r="J185" s="237">
        <v>117</v>
      </c>
      <c r="K185" s="237">
        <v>137</v>
      </c>
      <c r="L185" s="237">
        <v>164</v>
      </c>
      <c r="M185" s="237">
        <v>186</v>
      </c>
      <c r="N185" s="237">
        <v>234</v>
      </c>
      <c r="O185" s="237">
        <v>227</v>
      </c>
      <c r="P185" s="237">
        <v>286</v>
      </c>
      <c r="Q185" s="237">
        <v>270</v>
      </c>
      <c r="R185" s="237">
        <v>340</v>
      </c>
      <c r="S185" s="237">
        <v>324</v>
      </c>
      <c r="T185" s="237">
        <v>419</v>
      </c>
      <c r="U185" s="316">
        <v>381</v>
      </c>
    </row>
    <row r="186" spans="1:21" ht="9" customHeight="1">
      <c r="A186" s="1"/>
      <c r="B186" s="296" t="s">
        <v>3</v>
      </c>
      <c r="C186" s="319">
        <v>44.7</v>
      </c>
      <c r="D186" s="320">
        <v>66.7</v>
      </c>
      <c r="E186" s="320">
        <v>74.5</v>
      </c>
      <c r="F186" s="320">
        <v>98.6</v>
      </c>
      <c r="G186" s="258">
        <v>110</v>
      </c>
      <c r="H186" s="258">
        <v>143</v>
      </c>
      <c r="I186" s="258">
        <v>159</v>
      </c>
      <c r="J186" s="258">
        <v>235</v>
      </c>
      <c r="K186" s="258">
        <v>279</v>
      </c>
      <c r="L186" s="258">
        <v>326</v>
      </c>
      <c r="M186" s="258">
        <v>375</v>
      </c>
      <c r="N186" s="258">
        <v>455</v>
      </c>
      <c r="O186" s="258">
        <v>458</v>
      </c>
      <c r="P186" s="258">
        <v>616</v>
      </c>
      <c r="Q186" s="258">
        <v>609</v>
      </c>
      <c r="R186" s="258">
        <v>758</v>
      </c>
      <c r="S186" s="258">
        <v>759</v>
      </c>
      <c r="T186" s="258">
        <v>894</v>
      </c>
      <c r="U186" s="310">
        <v>863</v>
      </c>
    </row>
    <row r="187" spans="1:21" ht="9.3000000000000007" customHeight="1">
      <c r="A187" s="1"/>
      <c r="B187" s="296" t="s">
        <v>5</v>
      </c>
      <c r="C187" s="319">
        <v>46.8</v>
      </c>
      <c r="D187" s="320">
        <v>79.400000000000006</v>
      </c>
      <c r="E187" s="258">
        <v>87</v>
      </c>
      <c r="F187" s="258">
        <v>129</v>
      </c>
      <c r="G187" s="258">
        <v>143</v>
      </c>
      <c r="H187" s="258">
        <v>200</v>
      </c>
      <c r="I187" s="258">
        <v>237</v>
      </c>
      <c r="J187" s="258">
        <v>291</v>
      </c>
      <c r="K187" s="258">
        <v>348</v>
      </c>
      <c r="L187" s="258">
        <v>362</v>
      </c>
      <c r="M187" s="258">
        <v>403</v>
      </c>
      <c r="N187" s="258">
        <v>455</v>
      </c>
      <c r="O187" s="258">
        <v>451</v>
      </c>
      <c r="P187" s="258">
        <v>513</v>
      </c>
      <c r="Q187" s="258">
        <v>498</v>
      </c>
      <c r="R187" s="146" t="s">
        <v>21</v>
      </c>
      <c r="S187" s="146" t="s">
        <v>21</v>
      </c>
      <c r="T187" s="146" t="s">
        <v>21</v>
      </c>
      <c r="U187" s="223" t="s">
        <v>21</v>
      </c>
    </row>
    <row r="188" spans="1:21" ht="10.95" customHeight="1">
      <c r="A188" s="45"/>
      <c r="B188" s="297" t="s">
        <v>7</v>
      </c>
      <c r="C188" s="321">
        <v>63.3</v>
      </c>
      <c r="D188" s="259">
        <v>105</v>
      </c>
      <c r="E188" s="259">
        <v>116</v>
      </c>
      <c r="F188" s="259">
        <v>167</v>
      </c>
      <c r="G188" s="259">
        <v>185</v>
      </c>
      <c r="H188" s="259">
        <v>256</v>
      </c>
      <c r="I188" s="259">
        <v>299</v>
      </c>
      <c r="J188" s="259">
        <v>396</v>
      </c>
      <c r="K188" s="259">
        <v>475</v>
      </c>
      <c r="L188" s="259">
        <v>508</v>
      </c>
      <c r="M188" s="259">
        <v>575</v>
      </c>
      <c r="N188" s="259">
        <v>658</v>
      </c>
      <c r="O188" s="259">
        <v>663</v>
      </c>
      <c r="P188" s="259">
        <v>821</v>
      </c>
      <c r="Q188" s="259">
        <v>815</v>
      </c>
      <c r="R188" s="149" t="s">
        <v>21</v>
      </c>
      <c r="S188" s="149" t="s">
        <v>21</v>
      </c>
      <c r="T188" s="149" t="s">
        <v>21</v>
      </c>
      <c r="U188" s="225" t="s">
        <v>21</v>
      </c>
    </row>
    <row r="189" spans="1:21" ht="10.199999999999999" customHeight="1">
      <c r="A189" s="58">
        <v>56</v>
      </c>
      <c r="B189" s="329" t="s">
        <v>2</v>
      </c>
      <c r="C189" s="318">
        <v>24.5</v>
      </c>
      <c r="D189" s="262">
        <v>35.1</v>
      </c>
      <c r="E189" s="262">
        <v>41.6</v>
      </c>
      <c r="F189" s="262">
        <v>52.4</v>
      </c>
      <c r="G189" s="262">
        <v>61.8</v>
      </c>
      <c r="H189" s="262">
        <v>72.599999999999994</v>
      </c>
      <c r="I189" s="262">
        <v>81.599999999999994</v>
      </c>
      <c r="J189" s="237">
        <v>108</v>
      </c>
      <c r="K189" s="237">
        <v>127</v>
      </c>
      <c r="L189" s="237">
        <v>151</v>
      </c>
      <c r="M189" s="237">
        <v>171</v>
      </c>
      <c r="N189" s="237">
        <v>216</v>
      </c>
      <c r="O189" s="237">
        <v>242</v>
      </c>
      <c r="P189" s="237">
        <v>266</v>
      </c>
      <c r="Q189" s="237">
        <v>296</v>
      </c>
      <c r="R189" s="237">
        <v>319</v>
      </c>
      <c r="S189" s="237">
        <v>356</v>
      </c>
      <c r="T189" s="237">
        <v>392</v>
      </c>
      <c r="U189" s="316">
        <v>433</v>
      </c>
    </row>
    <row r="190" spans="1:21" ht="9" customHeight="1">
      <c r="A190" s="1"/>
      <c r="B190" s="296" t="s">
        <v>3</v>
      </c>
      <c r="C190" s="319">
        <v>40.4</v>
      </c>
      <c r="D190" s="320">
        <v>60.7</v>
      </c>
      <c r="E190" s="320">
        <v>72.2</v>
      </c>
      <c r="F190" s="320">
        <v>90.2</v>
      </c>
      <c r="G190" s="258">
        <v>106</v>
      </c>
      <c r="H190" s="258">
        <v>130</v>
      </c>
      <c r="I190" s="258">
        <v>147</v>
      </c>
      <c r="J190" s="258">
        <v>214</v>
      </c>
      <c r="K190" s="258">
        <v>257</v>
      </c>
      <c r="L190" s="258">
        <v>298</v>
      </c>
      <c r="M190" s="258">
        <v>342</v>
      </c>
      <c r="N190" s="258">
        <v>416</v>
      </c>
      <c r="O190" s="258">
        <v>469</v>
      </c>
      <c r="P190" s="258">
        <v>566</v>
      </c>
      <c r="Q190" s="258">
        <v>629</v>
      </c>
      <c r="R190" s="258">
        <v>698</v>
      </c>
      <c r="S190" s="258">
        <v>772</v>
      </c>
      <c r="T190" s="258">
        <v>822</v>
      </c>
      <c r="U190" s="310">
        <v>904</v>
      </c>
    </row>
    <row r="191" spans="1:21" ht="9.3000000000000007" customHeight="1">
      <c r="A191" s="1"/>
      <c r="B191" s="296" t="s">
        <v>5</v>
      </c>
      <c r="C191" s="319">
        <v>41.6</v>
      </c>
      <c r="D191" s="320">
        <v>71.099999999999994</v>
      </c>
      <c r="E191" s="320">
        <v>83.7</v>
      </c>
      <c r="F191" s="258">
        <v>116</v>
      </c>
      <c r="G191" s="258">
        <v>137</v>
      </c>
      <c r="H191" s="258">
        <v>177</v>
      </c>
      <c r="I191" s="258">
        <v>213</v>
      </c>
      <c r="J191" s="258">
        <v>258</v>
      </c>
      <c r="K191" s="258">
        <v>323</v>
      </c>
      <c r="L191" s="258">
        <v>334</v>
      </c>
      <c r="M191" s="258">
        <v>373</v>
      </c>
      <c r="N191" s="258">
        <v>420</v>
      </c>
      <c r="O191" s="258">
        <v>462</v>
      </c>
      <c r="P191" s="258">
        <v>476</v>
      </c>
      <c r="Q191" s="258">
        <v>521</v>
      </c>
      <c r="R191" s="146" t="s">
        <v>21</v>
      </c>
      <c r="S191" s="146" t="s">
        <v>21</v>
      </c>
      <c r="T191" s="146" t="s">
        <v>21</v>
      </c>
      <c r="U191" s="223" t="s">
        <v>21</v>
      </c>
    </row>
    <row r="192" spans="1:21" ht="10.8" customHeight="1">
      <c r="A192" s="1"/>
      <c r="B192" s="296" t="s">
        <v>7</v>
      </c>
      <c r="C192" s="319">
        <v>56.4</v>
      </c>
      <c r="D192" s="320">
        <v>94.3</v>
      </c>
      <c r="E192" s="258">
        <v>112</v>
      </c>
      <c r="F192" s="258">
        <v>150</v>
      </c>
      <c r="G192" s="258">
        <v>177</v>
      </c>
      <c r="H192" s="258">
        <v>228</v>
      </c>
      <c r="I192" s="258">
        <v>270</v>
      </c>
      <c r="J192" s="258">
        <v>353</v>
      </c>
      <c r="K192" s="258">
        <v>439</v>
      </c>
      <c r="L192" s="258">
        <v>466</v>
      </c>
      <c r="M192" s="258">
        <v>528</v>
      </c>
      <c r="N192" s="258">
        <v>604</v>
      </c>
      <c r="O192" s="258">
        <v>671</v>
      </c>
      <c r="P192" s="258">
        <v>755</v>
      </c>
      <c r="Q192" s="258">
        <v>830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5" customHeight="1">
      <c r="A193" s="58">
        <v>63</v>
      </c>
      <c r="B193" s="329" t="s">
        <v>2</v>
      </c>
      <c r="C193" s="318">
        <v>23.4</v>
      </c>
      <c r="D193" s="262">
        <v>33.6</v>
      </c>
      <c r="E193" s="262">
        <v>41.3</v>
      </c>
      <c r="F193" s="262">
        <v>50.2</v>
      </c>
      <c r="G193" s="262">
        <v>61.6</v>
      </c>
      <c r="H193" s="262">
        <v>69.400000000000006</v>
      </c>
      <c r="I193" s="262">
        <v>81.099999999999994</v>
      </c>
      <c r="J193" s="237">
        <v>103</v>
      </c>
      <c r="K193" s="237">
        <v>131</v>
      </c>
      <c r="L193" s="237">
        <v>145</v>
      </c>
      <c r="M193" s="237">
        <v>177</v>
      </c>
      <c r="N193" s="237">
        <v>208</v>
      </c>
      <c r="O193" s="237">
        <v>223</v>
      </c>
      <c r="P193" s="237">
        <v>257</v>
      </c>
      <c r="Q193" s="237">
        <v>276</v>
      </c>
      <c r="R193" s="237">
        <v>312</v>
      </c>
      <c r="S193" s="237">
        <v>334</v>
      </c>
      <c r="T193" s="237">
        <v>383</v>
      </c>
      <c r="U193" s="316">
        <v>404</v>
      </c>
    </row>
    <row r="194" spans="1:21" ht="9" customHeight="1">
      <c r="A194" s="1"/>
      <c r="B194" s="296" t="s">
        <v>3</v>
      </c>
      <c r="C194" s="319">
        <v>38.299999999999997</v>
      </c>
      <c r="D194" s="320">
        <v>57.6</v>
      </c>
      <c r="E194" s="320">
        <v>70.599999999999994</v>
      </c>
      <c r="F194" s="320">
        <v>85.9</v>
      </c>
      <c r="G194" s="258">
        <v>104</v>
      </c>
      <c r="H194" s="258">
        <v>123</v>
      </c>
      <c r="I194" s="258">
        <v>143</v>
      </c>
      <c r="J194" s="258">
        <v>203</v>
      </c>
      <c r="K194" s="258">
        <v>257</v>
      </c>
      <c r="L194" s="258">
        <v>283</v>
      </c>
      <c r="M194" s="258">
        <v>344</v>
      </c>
      <c r="N194" s="258">
        <v>398</v>
      </c>
      <c r="O194" s="258">
        <v>428</v>
      </c>
      <c r="P194" s="258">
        <v>541</v>
      </c>
      <c r="Q194" s="258">
        <v>577</v>
      </c>
      <c r="R194" s="258">
        <v>677</v>
      </c>
      <c r="S194" s="258">
        <v>712</v>
      </c>
      <c r="T194" s="258">
        <v>797</v>
      </c>
      <c r="U194" s="310">
        <v>831</v>
      </c>
    </row>
    <row r="195" spans="1:21" ht="9.3000000000000007" customHeight="1">
      <c r="A195" s="1"/>
      <c r="B195" s="296" t="s">
        <v>5</v>
      </c>
      <c r="C195" s="319">
        <v>38.9</v>
      </c>
      <c r="D195" s="320">
        <v>66.3</v>
      </c>
      <c r="E195" s="320">
        <v>81.2</v>
      </c>
      <c r="F195" s="258">
        <v>109</v>
      </c>
      <c r="G195" s="258">
        <v>133</v>
      </c>
      <c r="H195" s="258">
        <v>165</v>
      </c>
      <c r="I195" s="258">
        <v>204</v>
      </c>
      <c r="J195" s="258">
        <v>241</v>
      </c>
      <c r="K195" s="258">
        <v>324</v>
      </c>
      <c r="L195" s="258">
        <v>321</v>
      </c>
      <c r="M195" s="258">
        <v>375</v>
      </c>
      <c r="N195" s="258">
        <v>405</v>
      </c>
      <c r="O195" s="258">
        <v>427</v>
      </c>
      <c r="P195" s="258">
        <v>460</v>
      </c>
      <c r="Q195" s="258">
        <v>483</v>
      </c>
      <c r="R195" s="146" t="s">
        <v>21</v>
      </c>
      <c r="S195" s="146" t="s">
        <v>21</v>
      </c>
      <c r="T195" s="146" t="s">
        <v>21</v>
      </c>
      <c r="U195" s="223" t="s">
        <v>21</v>
      </c>
    </row>
    <row r="196" spans="1:21" ht="10.8" customHeight="1">
      <c r="A196" s="1"/>
      <c r="B196" s="296" t="s">
        <v>7</v>
      </c>
      <c r="C196" s="321">
        <v>52.8</v>
      </c>
      <c r="D196" s="322">
        <v>88.3</v>
      </c>
      <c r="E196" s="259">
        <v>108</v>
      </c>
      <c r="F196" s="259">
        <v>141</v>
      </c>
      <c r="G196" s="259">
        <v>171</v>
      </c>
      <c r="H196" s="259">
        <v>213</v>
      </c>
      <c r="I196" s="259">
        <v>259</v>
      </c>
      <c r="J196" s="259">
        <v>330</v>
      </c>
      <c r="K196" s="259">
        <v>436</v>
      </c>
      <c r="L196" s="259">
        <v>445</v>
      </c>
      <c r="M196" s="259">
        <v>526</v>
      </c>
      <c r="N196" s="259">
        <v>579</v>
      </c>
      <c r="O196" s="259">
        <v>615</v>
      </c>
      <c r="P196" s="259">
        <v>725</v>
      </c>
      <c r="Q196" s="259">
        <v>764</v>
      </c>
      <c r="R196" s="149" t="s">
        <v>21</v>
      </c>
      <c r="S196" s="149" t="s">
        <v>21</v>
      </c>
      <c r="T196" s="149" t="s">
        <v>21</v>
      </c>
      <c r="U196" s="225" t="s">
        <v>21</v>
      </c>
    </row>
    <row r="197" spans="1:21" ht="10.5" customHeight="1">
      <c r="A197" s="58">
        <v>71</v>
      </c>
      <c r="B197" s="329" t="s">
        <v>2</v>
      </c>
      <c r="C197" s="318">
        <v>22</v>
      </c>
      <c r="D197" s="262">
        <v>31.5</v>
      </c>
      <c r="E197" s="262">
        <v>37.9</v>
      </c>
      <c r="F197" s="262">
        <v>47.2</v>
      </c>
      <c r="G197" s="262">
        <v>56.6</v>
      </c>
      <c r="H197" s="262">
        <v>64.2</v>
      </c>
      <c r="I197" s="262">
        <v>74.3</v>
      </c>
      <c r="J197" s="262">
        <v>94.9</v>
      </c>
      <c r="K197" s="237">
        <v>120</v>
      </c>
      <c r="L197" s="237">
        <v>134</v>
      </c>
      <c r="M197" s="237">
        <v>163</v>
      </c>
      <c r="N197" s="237">
        <v>196</v>
      </c>
      <c r="O197" s="237">
        <v>215</v>
      </c>
      <c r="P197" s="237">
        <v>244</v>
      </c>
      <c r="Q197" s="237">
        <v>266</v>
      </c>
      <c r="R197" s="237">
        <v>298</v>
      </c>
      <c r="S197" s="237">
        <v>326</v>
      </c>
      <c r="T197" s="237">
        <v>366</v>
      </c>
      <c r="U197" s="316">
        <v>395</v>
      </c>
    </row>
    <row r="198" spans="1:21" ht="9" customHeight="1">
      <c r="A198" s="1"/>
      <c r="B198" s="296" t="s">
        <v>3</v>
      </c>
      <c r="C198" s="319">
        <v>35.9</v>
      </c>
      <c r="D198" s="320">
        <v>53.6</v>
      </c>
      <c r="E198" s="320">
        <v>64.3</v>
      </c>
      <c r="F198" s="320">
        <v>80.099999999999994</v>
      </c>
      <c r="G198" s="320">
        <v>95.2</v>
      </c>
      <c r="H198" s="258">
        <v>113</v>
      </c>
      <c r="I198" s="258">
        <v>130</v>
      </c>
      <c r="J198" s="258">
        <v>185</v>
      </c>
      <c r="K198" s="258">
        <v>233</v>
      </c>
      <c r="L198" s="258">
        <v>260</v>
      </c>
      <c r="M198" s="258">
        <v>313</v>
      </c>
      <c r="N198" s="258">
        <v>373</v>
      </c>
      <c r="O198" s="258">
        <v>409</v>
      </c>
      <c r="P198" s="258">
        <v>509</v>
      </c>
      <c r="Q198" s="258">
        <v>552</v>
      </c>
      <c r="R198" s="258">
        <v>638</v>
      </c>
      <c r="S198" s="258">
        <v>689</v>
      </c>
      <c r="T198" s="258">
        <v>750</v>
      </c>
      <c r="U198" s="310">
        <v>805</v>
      </c>
    </row>
    <row r="199" spans="1:21" ht="9.3000000000000007" customHeight="1">
      <c r="A199" s="1"/>
      <c r="B199" s="296" t="s">
        <v>5</v>
      </c>
      <c r="C199" s="319">
        <v>35.700000000000003</v>
      </c>
      <c r="D199" s="320">
        <v>60.5</v>
      </c>
      <c r="E199" s="320">
        <v>72.8</v>
      </c>
      <c r="F199" s="320">
        <v>99.3</v>
      </c>
      <c r="G199" s="258">
        <v>119</v>
      </c>
      <c r="H199" s="258">
        <v>148</v>
      </c>
      <c r="I199" s="258">
        <v>181</v>
      </c>
      <c r="J199" s="258">
        <v>214</v>
      </c>
      <c r="K199" s="258">
        <v>297</v>
      </c>
      <c r="L199" s="258">
        <v>299</v>
      </c>
      <c r="M199" s="258">
        <v>346</v>
      </c>
      <c r="N199" s="258">
        <v>384</v>
      </c>
      <c r="O199" s="258">
        <v>411</v>
      </c>
      <c r="P199" s="258">
        <v>438</v>
      </c>
      <c r="Q199" s="258">
        <v>467</v>
      </c>
      <c r="R199" s="146" t="s">
        <v>21</v>
      </c>
      <c r="S199" s="146" t="s">
        <v>21</v>
      </c>
      <c r="T199" s="146" t="s">
        <v>21</v>
      </c>
      <c r="U199" s="223" t="s">
        <v>21</v>
      </c>
    </row>
    <row r="200" spans="1:21" ht="10.8" customHeight="1">
      <c r="A200" s="1"/>
      <c r="B200" s="296" t="s">
        <v>7</v>
      </c>
      <c r="C200" s="321">
        <v>48.7</v>
      </c>
      <c r="D200" s="322">
        <v>80.8</v>
      </c>
      <c r="E200" s="322">
        <v>97</v>
      </c>
      <c r="F200" s="259">
        <v>129</v>
      </c>
      <c r="G200" s="259">
        <v>154</v>
      </c>
      <c r="H200" s="259">
        <v>191</v>
      </c>
      <c r="I200" s="259">
        <v>231</v>
      </c>
      <c r="J200" s="259">
        <v>295</v>
      </c>
      <c r="K200" s="259">
        <v>398</v>
      </c>
      <c r="L200" s="259">
        <v>412</v>
      </c>
      <c r="M200" s="259">
        <v>482</v>
      </c>
      <c r="N200" s="259">
        <v>545</v>
      </c>
      <c r="O200" s="259">
        <v>589</v>
      </c>
      <c r="P200" s="259">
        <v>684</v>
      </c>
      <c r="Q200" s="259">
        <v>733</v>
      </c>
      <c r="R200" s="149" t="s">
        <v>21</v>
      </c>
      <c r="S200" s="149" t="s">
        <v>21</v>
      </c>
      <c r="T200" s="149" t="s">
        <v>21</v>
      </c>
      <c r="U200" s="225" t="s">
        <v>21</v>
      </c>
    </row>
    <row r="201" spans="1:21" ht="10.5" customHeight="1">
      <c r="A201" s="58">
        <v>80</v>
      </c>
      <c r="B201" s="329" t="s">
        <v>2</v>
      </c>
      <c r="C201" s="153" t="s">
        <v>1</v>
      </c>
      <c r="D201" s="85" t="s">
        <v>1</v>
      </c>
      <c r="E201" s="262">
        <v>36.200000000000003</v>
      </c>
      <c r="F201" s="85" t="s">
        <v>1</v>
      </c>
      <c r="G201" s="262">
        <v>54.3</v>
      </c>
      <c r="H201" s="85" t="s">
        <v>1</v>
      </c>
      <c r="I201" s="262">
        <v>71.099999999999994</v>
      </c>
      <c r="J201" s="85" t="s">
        <v>1</v>
      </c>
      <c r="K201" s="237">
        <v>115</v>
      </c>
      <c r="L201" s="85" t="s">
        <v>1</v>
      </c>
      <c r="M201" s="237">
        <v>156</v>
      </c>
      <c r="N201" s="85" t="s">
        <v>1</v>
      </c>
      <c r="O201" s="237">
        <v>203</v>
      </c>
      <c r="P201" s="85" t="s">
        <v>1</v>
      </c>
      <c r="Q201" s="237">
        <v>253</v>
      </c>
      <c r="R201" s="85" t="s">
        <v>1</v>
      </c>
      <c r="S201" s="237">
        <v>311</v>
      </c>
      <c r="T201" s="85" t="s">
        <v>1</v>
      </c>
      <c r="U201" s="316">
        <v>377</v>
      </c>
    </row>
    <row r="202" spans="1:21" ht="9" customHeight="1">
      <c r="A202" s="1"/>
      <c r="B202" s="296" t="s">
        <v>3</v>
      </c>
      <c r="C202" s="154" t="s">
        <v>1</v>
      </c>
      <c r="D202" s="146" t="s">
        <v>1</v>
      </c>
      <c r="E202" s="320">
        <v>61</v>
      </c>
      <c r="F202" s="146" t="s">
        <v>1</v>
      </c>
      <c r="G202" s="320">
        <v>90.8</v>
      </c>
      <c r="H202" s="146" t="s">
        <v>1</v>
      </c>
      <c r="I202" s="258">
        <v>124</v>
      </c>
      <c r="J202" s="146" t="s">
        <v>1</v>
      </c>
      <c r="K202" s="258">
        <v>221</v>
      </c>
      <c r="L202" s="146" t="s">
        <v>1</v>
      </c>
      <c r="M202" s="258">
        <v>298</v>
      </c>
      <c r="N202" s="146" t="s">
        <v>1</v>
      </c>
      <c r="O202" s="258">
        <v>383</v>
      </c>
      <c r="P202" s="146" t="s">
        <v>1</v>
      </c>
      <c r="Q202" s="258">
        <v>519</v>
      </c>
      <c r="R202" s="146" t="s">
        <v>1</v>
      </c>
      <c r="S202" s="258">
        <v>649</v>
      </c>
      <c r="T202" s="146" t="s">
        <v>1</v>
      </c>
      <c r="U202" s="310">
        <v>758</v>
      </c>
    </row>
    <row r="203" spans="1:21" ht="9.3000000000000007" customHeight="1">
      <c r="A203" s="1"/>
      <c r="B203" s="296" t="s">
        <v>5</v>
      </c>
      <c r="C203" s="154" t="s">
        <v>1</v>
      </c>
      <c r="D203" s="146" t="s">
        <v>1</v>
      </c>
      <c r="E203" s="320">
        <v>68</v>
      </c>
      <c r="F203" s="146" t="s">
        <v>1</v>
      </c>
      <c r="G203" s="258">
        <v>112</v>
      </c>
      <c r="H203" s="146" t="s">
        <v>1</v>
      </c>
      <c r="I203" s="258">
        <v>169</v>
      </c>
      <c r="J203" s="146" t="s">
        <v>1</v>
      </c>
      <c r="K203" s="258">
        <v>286</v>
      </c>
      <c r="L203" s="146" t="s">
        <v>1</v>
      </c>
      <c r="M203" s="258">
        <v>332</v>
      </c>
      <c r="N203" s="146" t="s">
        <v>1</v>
      </c>
      <c r="O203" s="258">
        <v>390</v>
      </c>
      <c r="P203" s="146" t="s">
        <v>1</v>
      </c>
      <c r="Q203" s="258">
        <v>444</v>
      </c>
      <c r="R203" s="146" t="s">
        <v>1</v>
      </c>
      <c r="S203" s="146" t="s">
        <v>21</v>
      </c>
      <c r="T203" s="146" t="s">
        <v>1</v>
      </c>
      <c r="U203" s="223" t="s">
        <v>21</v>
      </c>
    </row>
    <row r="204" spans="1:21" ht="10.8" customHeight="1">
      <c r="A204" s="1"/>
      <c r="B204" s="296" t="s">
        <v>7</v>
      </c>
      <c r="C204" s="155" t="s">
        <v>1</v>
      </c>
      <c r="D204" s="149" t="s">
        <v>1</v>
      </c>
      <c r="E204" s="322">
        <v>90.9</v>
      </c>
      <c r="F204" s="149" t="s">
        <v>1</v>
      </c>
      <c r="G204" s="259">
        <v>145</v>
      </c>
      <c r="H204" s="149" t="s">
        <v>1</v>
      </c>
      <c r="I204" s="259">
        <v>216</v>
      </c>
      <c r="J204" s="149" t="s">
        <v>1</v>
      </c>
      <c r="K204" s="259">
        <v>380</v>
      </c>
      <c r="L204" s="149" t="s">
        <v>1</v>
      </c>
      <c r="M204" s="259">
        <v>461</v>
      </c>
      <c r="N204" s="149" t="s">
        <v>1</v>
      </c>
      <c r="O204" s="259">
        <v>555</v>
      </c>
      <c r="P204" s="149" t="s">
        <v>1</v>
      </c>
      <c r="Q204" s="259">
        <v>692</v>
      </c>
      <c r="R204" s="149" t="s">
        <v>1</v>
      </c>
      <c r="S204" s="149" t="s">
        <v>21</v>
      </c>
      <c r="T204" s="149" t="s">
        <v>1</v>
      </c>
      <c r="U204" s="225" t="s">
        <v>21</v>
      </c>
    </row>
    <row r="205" spans="1:21" ht="10.5" customHeight="1">
      <c r="A205" s="58">
        <v>90</v>
      </c>
      <c r="B205" s="329" t="s">
        <v>2</v>
      </c>
      <c r="C205" s="153" t="s">
        <v>1</v>
      </c>
      <c r="D205" s="85" t="s">
        <v>1</v>
      </c>
      <c r="E205" s="262">
        <v>34.1</v>
      </c>
      <c r="F205" s="85" t="s">
        <v>1</v>
      </c>
      <c r="G205" s="262">
        <v>51</v>
      </c>
      <c r="H205" s="85" t="s">
        <v>1</v>
      </c>
      <c r="I205" s="237">
        <v>66</v>
      </c>
      <c r="J205" s="85" t="s">
        <v>1</v>
      </c>
      <c r="K205" s="237">
        <v>106</v>
      </c>
      <c r="L205" s="85" t="s">
        <v>1</v>
      </c>
      <c r="M205" s="237">
        <v>144</v>
      </c>
      <c r="N205" s="85" t="s">
        <v>1</v>
      </c>
      <c r="O205" s="85" t="s">
        <v>1</v>
      </c>
      <c r="P205" s="85" t="s">
        <v>1</v>
      </c>
      <c r="Q205" s="85" t="s">
        <v>1</v>
      </c>
      <c r="R205" s="85" t="s">
        <v>1</v>
      </c>
      <c r="S205" s="85" t="s">
        <v>1</v>
      </c>
      <c r="T205" s="85" t="s">
        <v>1</v>
      </c>
      <c r="U205" s="221" t="s">
        <v>1</v>
      </c>
    </row>
    <row r="206" spans="1:21" ht="9" customHeight="1">
      <c r="A206" s="1"/>
      <c r="B206" s="296" t="s">
        <v>3</v>
      </c>
      <c r="C206" s="154" t="s">
        <v>1</v>
      </c>
      <c r="D206" s="146" t="s">
        <v>1</v>
      </c>
      <c r="E206" s="320">
        <v>57.1</v>
      </c>
      <c r="F206" s="146" t="s">
        <v>1</v>
      </c>
      <c r="G206" s="320">
        <v>84.6</v>
      </c>
      <c r="H206" s="146" t="s">
        <v>1</v>
      </c>
      <c r="I206" s="258">
        <v>114</v>
      </c>
      <c r="J206" s="146" t="s">
        <v>1</v>
      </c>
      <c r="K206" s="258">
        <v>201</v>
      </c>
      <c r="L206" s="146" t="s">
        <v>1</v>
      </c>
      <c r="M206" s="258">
        <v>273</v>
      </c>
      <c r="N206" s="146" t="s">
        <v>1</v>
      </c>
      <c r="O206" s="146" t="s">
        <v>1</v>
      </c>
      <c r="P206" s="146" t="s">
        <v>1</v>
      </c>
      <c r="Q206" s="146" t="s">
        <v>1</v>
      </c>
      <c r="R206" s="146" t="s">
        <v>1</v>
      </c>
      <c r="S206" s="146" t="s">
        <v>1</v>
      </c>
      <c r="T206" s="146" t="s">
        <v>1</v>
      </c>
      <c r="U206" s="223" t="s">
        <v>1</v>
      </c>
    </row>
    <row r="207" spans="1:21" ht="9.3000000000000007" customHeight="1">
      <c r="A207" s="1"/>
      <c r="B207" s="296" t="s">
        <v>5</v>
      </c>
      <c r="C207" s="154" t="s">
        <v>1</v>
      </c>
      <c r="D207" s="146" t="s">
        <v>1</v>
      </c>
      <c r="E207" s="320">
        <v>62.2</v>
      </c>
      <c r="F207" s="146" t="s">
        <v>1</v>
      </c>
      <c r="G207" s="258">
        <v>102</v>
      </c>
      <c r="H207" s="146" t="s">
        <v>1</v>
      </c>
      <c r="I207" s="258">
        <v>151</v>
      </c>
      <c r="J207" s="146" t="s">
        <v>1</v>
      </c>
      <c r="K207" s="258">
        <v>264</v>
      </c>
      <c r="L207" s="146" t="s">
        <v>1</v>
      </c>
      <c r="M207" s="258">
        <v>310</v>
      </c>
      <c r="N207" s="146" t="s">
        <v>1</v>
      </c>
      <c r="O207" s="146" t="s">
        <v>1</v>
      </c>
      <c r="P207" s="146" t="s">
        <v>1</v>
      </c>
      <c r="Q207" s="146" t="s">
        <v>1</v>
      </c>
      <c r="R207" s="146" t="s">
        <v>1</v>
      </c>
      <c r="S207" s="146" t="s">
        <v>1</v>
      </c>
      <c r="T207" s="146" t="s">
        <v>1</v>
      </c>
      <c r="U207" s="223" t="s">
        <v>1</v>
      </c>
    </row>
    <row r="208" spans="1:21" ht="10.8" customHeight="1">
      <c r="A208" s="392"/>
      <c r="B208" s="387" t="s">
        <v>7</v>
      </c>
      <c r="C208" s="378" t="s">
        <v>1</v>
      </c>
      <c r="D208" s="379" t="s">
        <v>1</v>
      </c>
      <c r="E208" s="397">
        <v>83.5</v>
      </c>
      <c r="F208" s="379" t="s">
        <v>1</v>
      </c>
      <c r="G208" s="371">
        <v>133</v>
      </c>
      <c r="H208" s="379" t="s">
        <v>1</v>
      </c>
      <c r="I208" s="371">
        <v>194</v>
      </c>
      <c r="J208" s="379" t="s">
        <v>1</v>
      </c>
      <c r="K208" s="371">
        <v>349</v>
      </c>
      <c r="L208" s="379" t="s">
        <v>1</v>
      </c>
      <c r="M208" s="371">
        <v>426</v>
      </c>
      <c r="N208" s="379" t="s">
        <v>1</v>
      </c>
      <c r="O208" s="379" t="s">
        <v>1</v>
      </c>
      <c r="P208" s="379" t="s">
        <v>1</v>
      </c>
      <c r="Q208" s="379" t="s">
        <v>1</v>
      </c>
      <c r="R208" s="379" t="s">
        <v>1</v>
      </c>
      <c r="S208" s="379" t="s">
        <v>1</v>
      </c>
      <c r="T208" s="379" t="s">
        <v>1</v>
      </c>
      <c r="U208" s="380" t="s">
        <v>1</v>
      </c>
    </row>
    <row r="209" spans="1:23" ht="10.8" customHeight="1"/>
    <row r="210" spans="1:23" ht="10.8" customHeight="1"/>
    <row r="211" spans="1:23" ht="10.8" customHeight="1"/>
    <row r="212" spans="1:23" ht="10.8" customHeight="1"/>
    <row r="214" spans="1:23" ht="44.55" customHeight="1">
      <c r="A214" s="449" t="s">
        <v>465</v>
      </c>
      <c r="B214" s="449"/>
      <c r="C214" s="449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  <c r="R214" s="449"/>
      <c r="S214" s="449"/>
      <c r="T214" s="449"/>
      <c r="U214" s="449"/>
      <c r="V214" s="449"/>
      <c r="W214" s="449"/>
    </row>
    <row r="215" spans="1:23" ht="12.3" customHeight="1">
      <c r="A215" s="488" t="s">
        <v>69</v>
      </c>
      <c r="B215" s="488"/>
      <c r="C215" s="487" t="s">
        <v>14</v>
      </c>
      <c r="D215" s="487"/>
      <c r="E215" s="487"/>
      <c r="F215" s="487"/>
      <c r="G215" s="487"/>
      <c r="H215" s="487"/>
      <c r="I215" s="487"/>
      <c r="J215" s="487"/>
      <c r="K215" s="487"/>
      <c r="L215" s="487"/>
      <c r="M215" s="487"/>
      <c r="N215" s="487"/>
      <c r="O215" s="487"/>
      <c r="P215" s="487"/>
      <c r="Q215" s="487"/>
      <c r="R215" s="487"/>
      <c r="S215" s="487"/>
      <c r="T215" s="487"/>
      <c r="U215" s="487"/>
    </row>
    <row r="216" spans="1:23" ht="9" customHeight="1">
      <c r="A216" s="489"/>
      <c r="B216" s="489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64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33">
        <v>19</v>
      </c>
      <c r="S216" s="33">
        <v>20</v>
      </c>
      <c r="T216" s="33">
        <v>21</v>
      </c>
      <c r="U216" s="34">
        <v>22</v>
      </c>
    </row>
    <row r="217" spans="1:23" ht="10.5" customHeight="1">
      <c r="A217" s="58" t="s">
        <v>554</v>
      </c>
      <c r="B217" s="329" t="s">
        <v>2</v>
      </c>
      <c r="C217" s="318">
        <v>47.5</v>
      </c>
      <c r="D217" s="262">
        <v>62.9</v>
      </c>
      <c r="E217" s="85" t="s">
        <v>1</v>
      </c>
      <c r="F217" s="262">
        <v>95.5</v>
      </c>
      <c r="G217" s="85" t="s">
        <v>1</v>
      </c>
      <c r="H217" s="237">
        <v>122</v>
      </c>
      <c r="I217" s="85" t="s">
        <v>1</v>
      </c>
      <c r="J217" s="237">
        <v>164</v>
      </c>
      <c r="K217" s="85" t="s">
        <v>1</v>
      </c>
      <c r="L217" s="237">
        <v>206</v>
      </c>
      <c r="M217" s="85" t="s">
        <v>1</v>
      </c>
      <c r="N217" s="237">
        <v>208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3" ht="9" customHeight="1">
      <c r="A218" s="1"/>
      <c r="B218" s="296" t="s">
        <v>3</v>
      </c>
      <c r="C218" s="319">
        <v>91.9</v>
      </c>
      <c r="D218" s="258">
        <v>130</v>
      </c>
      <c r="E218" s="146" t="s">
        <v>1</v>
      </c>
      <c r="F218" s="258">
        <v>201</v>
      </c>
      <c r="G218" s="146" t="s">
        <v>1</v>
      </c>
      <c r="H218" s="258">
        <v>275</v>
      </c>
      <c r="I218" s="146" t="s">
        <v>1</v>
      </c>
      <c r="J218" s="258">
        <v>448</v>
      </c>
      <c r="K218" s="146" t="s">
        <v>1</v>
      </c>
      <c r="L218" s="258">
        <v>589</v>
      </c>
      <c r="M218" s="146" t="s">
        <v>1</v>
      </c>
      <c r="N218" s="258">
        <v>743</v>
      </c>
      <c r="O218" s="146" t="s">
        <v>1</v>
      </c>
      <c r="P218" s="258">
        <v>933</v>
      </c>
      <c r="Q218" s="146" t="s">
        <v>1</v>
      </c>
      <c r="R218" s="258">
        <v>987</v>
      </c>
      <c r="S218" s="146" t="s">
        <v>1</v>
      </c>
      <c r="T218" s="258">
        <v>1062</v>
      </c>
      <c r="U218" s="223" t="s">
        <v>1</v>
      </c>
    </row>
    <row r="219" spans="1:23" ht="9.3000000000000007" customHeight="1">
      <c r="A219" s="1"/>
      <c r="B219" s="296" t="s">
        <v>5</v>
      </c>
      <c r="C219" s="304">
        <v>105</v>
      </c>
      <c r="D219" s="258">
        <v>174</v>
      </c>
      <c r="E219" s="146" t="s">
        <v>1</v>
      </c>
      <c r="F219" s="258">
        <v>258</v>
      </c>
      <c r="G219" s="146" t="s">
        <v>1</v>
      </c>
      <c r="H219" s="258">
        <v>429</v>
      </c>
      <c r="I219" s="146" t="s">
        <v>1</v>
      </c>
      <c r="J219" s="258">
        <v>512</v>
      </c>
      <c r="K219" s="146" t="s">
        <v>1</v>
      </c>
      <c r="L219" s="258">
        <v>571</v>
      </c>
      <c r="M219" s="146" t="s">
        <v>1</v>
      </c>
      <c r="N219" s="258">
        <v>630</v>
      </c>
      <c r="O219" s="146" t="s">
        <v>1</v>
      </c>
      <c r="P219" s="258">
        <v>581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3" ht="10.8" customHeight="1">
      <c r="A220" s="45"/>
      <c r="B220" s="297" t="s">
        <v>7</v>
      </c>
      <c r="C220" s="307">
        <v>145</v>
      </c>
      <c r="D220" s="259">
        <v>234</v>
      </c>
      <c r="E220" s="149" t="s">
        <v>1</v>
      </c>
      <c r="F220" s="259">
        <v>351</v>
      </c>
      <c r="G220" s="149" t="s">
        <v>1</v>
      </c>
      <c r="H220" s="259">
        <v>561</v>
      </c>
      <c r="I220" s="149" t="s">
        <v>1</v>
      </c>
      <c r="J220" s="259">
        <v>765</v>
      </c>
      <c r="K220" s="149" t="s">
        <v>1</v>
      </c>
      <c r="L220" s="259">
        <v>913</v>
      </c>
      <c r="M220" s="149" t="s">
        <v>1</v>
      </c>
      <c r="N220" s="259">
        <v>1107</v>
      </c>
      <c r="O220" s="149" t="s">
        <v>1</v>
      </c>
      <c r="P220" s="259">
        <v>1310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3" ht="10.5" customHeight="1">
      <c r="A221" s="58">
        <v>14</v>
      </c>
      <c r="B221" s="329" t="s">
        <v>2</v>
      </c>
      <c r="C221" s="318">
        <v>46.1</v>
      </c>
      <c r="D221" s="262">
        <v>61.1</v>
      </c>
      <c r="E221" s="85" t="s">
        <v>1</v>
      </c>
      <c r="F221" s="262">
        <v>92.7</v>
      </c>
      <c r="G221" s="85" t="s">
        <v>1</v>
      </c>
      <c r="H221" s="237">
        <v>120</v>
      </c>
      <c r="I221" s="85" t="s">
        <v>1</v>
      </c>
      <c r="J221" s="237">
        <v>161</v>
      </c>
      <c r="K221" s="85" t="s">
        <v>1</v>
      </c>
      <c r="L221" s="237">
        <v>208</v>
      </c>
      <c r="M221" s="85" t="s">
        <v>1</v>
      </c>
      <c r="N221" s="237">
        <v>207</v>
      </c>
      <c r="O221" s="237">
        <v>225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3" ht="9" customHeight="1">
      <c r="A222" s="1"/>
      <c r="B222" s="296" t="s">
        <v>3</v>
      </c>
      <c r="C222" s="319">
        <v>88.9</v>
      </c>
      <c r="D222" s="258">
        <v>126</v>
      </c>
      <c r="E222" s="146" t="s">
        <v>1</v>
      </c>
      <c r="F222" s="258">
        <v>194</v>
      </c>
      <c r="G222" s="146" t="s">
        <v>1</v>
      </c>
      <c r="H222" s="258">
        <v>268</v>
      </c>
      <c r="I222" s="146" t="s">
        <v>1</v>
      </c>
      <c r="J222" s="258">
        <v>438</v>
      </c>
      <c r="K222" s="146" t="s">
        <v>1</v>
      </c>
      <c r="L222" s="258">
        <v>592</v>
      </c>
      <c r="M222" s="146" t="s">
        <v>1</v>
      </c>
      <c r="N222" s="258">
        <v>726</v>
      </c>
      <c r="O222" s="258">
        <v>773</v>
      </c>
      <c r="P222" s="258">
        <v>896</v>
      </c>
      <c r="Q222" s="258">
        <v>996</v>
      </c>
      <c r="R222" s="258">
        <v>974</v>
      </c>
      <c r="S222" s="258">
        <v>1066</v>
      </c>
      <c r="T222" s="258">
        <v>1051</v>
      </c>
      <c r="U222" s="310">
        <v>1107</v>
      </c>
    </row>
    <row r="223" spans="1:23" ht="9.3000000000000007" customHeight="1">
      <c r="A223" s="1"/>
      <c r="B223" s="296" t="s">
        <v>5</v>
      </c>
      <c r="C223" s="304">
        <v>101</v>
      </c>
      <c r="D223" s="258">
        <v>169</v>
      </c>
      <c r="E223" s="146" t="s">
        <v>1</v>
      </c>
      <c r="F223" s="258">
        <v>249</v>
      </c>
      <c r="G223" s="146" t="s">
        <v>1</v>
      </c>
      <c r="H223" s="258">
        <v>419</v>
      </c>
      <c r="I223" s="146" t="s">
        <v>1</v>
      </c>
      <c r="J223" s="258">
        <v>500</v>
      </c>
      <c r="K223" s="146" t="s">
        <v>1</v>
      </c>
      <c r="L223" s="258">
        <v>573</v>
      </c>
      <c r="M223" s="146" t="s">
        <v>1</v>
      </c>
      <c r="N223" s="258">
        <v>617</v>
      </c>
      <c r="O223" s="258">
        <v>647</v>
      </c>
      <c r="P223" s="258">
        <v>560</v>
      </c>
      <c r="Q223" s="258">
        <v>623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3" ht="10.8" customHeight="1">
      <c r="A224" s="45"/>
      <c r="B224" s="297" t="s">
        <v>7</v>
      </c>
      <c r="C224" s="307">
        <v>140</v>
      </c>
      <c r="D224" s="259">
        <v>226</v>
      </c>
      <c r="E224" s="149" t="s">
        <v>1</v>
      </c>
      <c r="F224" s="259">
        <v>339</v>
      </c>
      <c r="G224" s="149" t="s">
        <v>1</v>
      </c>
      <c r="H224" s="259">
        <v>546</v>
      </c>
      <c r="I224" s="149" t="s">
        <v>1</v>
      </c>
      <c r="J224" s="259">
        <v>745</v>
      </c>
      <c r="K224" s="149" t="s">
        <v>1</v>
      </c>
      <c r="L224" s="259">
        <v>915</v>
      </c>
      <c r="M224" s="149" t="s">
        <v>1</v>
      </c>
      <c r="N224" s="259">
        <v>1080</v>
      </c>
      <c r="O224" s="259">
        <v>1138</v>
      </c>
      <c r="P224" s="259">
        <v>1255</v>
      </c>
      <c r="Q224" s="259">
        <v>1384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58">
        <v>16</v>
      </c>
      <c r="B225" s="329" t="s">
        <v>2</v>
      </c>
      <c r="C225" s="318">
        <v>44.5</v>
      </c>
      <c r="D225" s="262">
        <v>59.9</v>
      </c>
      <c r="E225" s="262">
        <v>68.8</v>
      </c>
      <c r="F225" s="262">
        <v>89.1</v>
      </c>
      <c r="G225" s="237">
        <v>105</v>
      </c>
      <c r="H225" s="237">
        <v>118</v>
      </c>
      <c r="I225" s="237">
        <v>133</v>
      </c>
      <c r="J225" s="237">
        <v>162</v>
      </c>
      <c r="K225" s="237">
        <v>187</v>
      </c>
      <c r="L225" s="237">
        <v>209</v>
      </c>
      <c r="M225" s="237">
        <v>232</v>
      </c>
      <c r="N225" s="237">
        <v>245</v>
      </c>
      <c r="O225" s="237">
        <v>222</v>
      </c>
      <c r="P225" s="237">
        <v>210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1"/>
      <c r="B226" s="296" t="s">
        <v>3</v>
      </c>
      <c r="C226" s="319">
        <v>85.2</v>
      </c>
      <c r="D226" s="258">
        <v>123</v>
      </c>
      <c r="E226" s="258">
        <v>138</v>
      </c>
      <c r="F226" s="258">
        <v>185</v>
      </c>
      <c r="G226" s="258">
        <v>211</v>
      </c>
      <c r="H226" s="258">
        <v>261</v>
      </c>
      <c r="I226" s="258">
        <v>288</v>
      </c>
      <c r="J226" s="258">
        <v>424</v>
      </c>
      <c r="K226" s="258">
        <v>482</v>
      </c>
      <c r="L226" s="258">
        <v>560</v>
      </c>
      <c r="M226" s="258">
        <v>626</v>
      </c>
      <c r="N226" s="258">
        <v>733</v>
      </c>
      <c r="O226" s="258">
        <v>752</v>
      </c>
      <c r="P226" s="258">
        <v>940</v>
      </c>
      <c r="Q226" s="258">
        <v>922</v>
      </c>
      <c r="R226" s="258">
        <v>984</v>
      </c>
      <c r="S226" s="258">
        <v>1020</v>
      </c>
      <c r="T226" s="258">
        <v>1112</v>
      </c>
      <c r="U226" s="310">
        <v>1091</v>
      </c>
    </row>
    <row r="227" spans="1:21" ht="9.3000000000000007" customHeight="1">
      <c r="A227" s="1"/>
      <c r="B227" s="296" t="s">
        <v>5</v>
      </c>
      <c r="C227" s="319">
        <v>97.1</v>
      </c>
      <c r="D227" s="258">
        <v>164</v>
      </c>
      <c r="E227" s="258">
        <v>177</v>
      </c>
      <c r="F227" s="258">
        <v>237</v>
      </c>
      <c r="G227" s="258">
        <v>263</v>
      </c>
      <c r="H227" s="258">
        <v>405</v>
      </c>
      <c r="I227" s="258">
        <v>438</v>
      </c>
      <c r="J227" s="258">
        <v>483</v>
      </c>
      <c r="K227" s="258">
        <v>534</v>
      </c>
      <c r="L227" s="258">
        <v>542</v>
      </c>
      <c r="M227" s="258">
        <v>599</v>
      </c>
      <c r="N227" s="258">
        <v>629</v>
      </c>
      <c r="O227" s="258">
        <v>631</v>
      </c>
      <c r="P227" s="258">
        <v>621</v>
      </c>
      <c r="Q227" s="258">
        <v>578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45"/>
      <c r="B228" s="297" t="s">
        <v>7</v>
      </c>
      <c r="C228" s="307">
        <v>134</v>
      </c>
      <c r="D228" s="259">
        <v>219</v>
      </c>
      <c r="E228" s="259">
        <v>239</v>
      </c>
      <c r="F228" s="259">
        <v>322</v>
      </c>
      <c r="G228" s="259">
        <v>358</v>
      </c>
      <c r="H228" s="259">
        <v>528</v>
      </c>
      <c r="I228" s="259">
        <v>572</v>
      </c>
      <c r="J228" s="259">
        <v>715</v>
      </c>
      <c r="K228" s="259">
        <v>797</v>
      </c>
      <c r="L228" s="259">
        <v>854</v>
      </c>
      <c r="M228" s="259">
        <v>953</v>
      </c>
      <c r="N228" s="259">
        <v>1074</v>
      </c>
      <c r="O228" s="259">
        <v>1105</v>
      </c>
      <c r="P228" s="259">
        <v>1287</v>
      </c>
      <c r="Q228" s="259">
        <v>1278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58">
        <v>18</v>
      </c>
      <c r="B229" s="329" t="s">
        <v>2</v>
      </c>
      <c r="C229" s="318">
        <v>43.2</v>
      </c>
      <c r="D229" s="262">
        <v>58</v>
      </c>
      <c r="E229" s="262">
        <v>66.8</v>
      </c>
      <c r="F229" s="262">
        <v>86.4</v>
      </c>
      <c r="G229" s="237">
        <v>102</v>
      </c>
      <c r="H229" s="237">
        <v>116</v>
      </c>
      <c r="I229" s="237">
        <v>125</v>
      </c>
      <c r="J229" s="237">
        <v>159</v>
      </c>
      <c r="K229" s="237">
        <v>188</v>
      </c>
      <c r="L229" s="237">
        <v>211</v>
      </c>
      <c r="M229" s="237">
        <v>233</v>
      </c>
      <c r="N229" s="237">
        <v>241</v>
      </c>
      <c r="O229" s="237">
        <v>261</v>
      </c>
      <c r="P229" s="237">
        <v>205</v>
      </c>
      <c r="Q229" s="237">
        <v>246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1"/>
      <c r="B230" s="296" t="s">
        <v>3</v>
      </c>
      <c r="C230" s="319">
        <v>82.7</v>
      </c>
      <c r="D230" s="258">
        <v>119</v>
      </c>
      <c r="E230" s="258">
        <v>134</v>
      </c>
      <c r="F230" s="258">
        <v>179</v>
      </c>
      <c r="G230" s="258">
        <v>205</v>
      </c>
      <c r="H230" s="258">
        <v>254</v>
      </c>
      <c r="I230" s="258">
        <v>269</v>
      </c>
      <c r="J230" s="258">
        <v>414</v>
      </c>
      <c r="K230" s="258">
        <v>481</v>
      </c>
      <c r="L230" s="258">
        <v>561</v>
      </c>
      <c r="M230" s="258">
        <v>629</v>
      </c>
      <c r="N230" s="258">
        <v>715</v>
      </c>
      <c r="O230" s="258">
        <v>762</v>
      </c>
      <c r="P230" s="258">
        <v>900</v>
      </c>
      <c r="Q230" s="258">
        <v>1001</v>
      </c>
      <c r="R230" s="258">
        <v>961</v>
      </c>
      <c r="S230" s="258">
        <v>1052</v>
      </c>
      <c r="T230" s="258">
        <v>1097</v>
      </c>
      <c r="U230" s="310">
        <v>1159</v>
      </c>
    </row>
    <row r="231" spans="1:21" ht="9.3000000000000007" customHeight="1">
      <c r="A231" s="1"/>
      <c r="B231" s="296" t="s">
        <v>5</v>
      </c>
      <c r="C231" s="319">
        <v>94</v>
      </c>
      <c r="D231" s="258">
        <v>158</v>
      </c>
      <c r="E231" s="258">
        <v>172</v>
      </c>
      <c r="F231" s="258">
        <v>229</v>
      </c>
      <c r="G231" s="258">
        <v>256</v>
      </c>
      <c r="H231" s="258">
        <v>395</v>
      </c>
      <c r="I231" s="258">
        <v>409</v>
      </c>
      <c r="J231" s="258">
        <v>471</v>
      </c>
      <c r="K231" s="258">
        <v>532</v>
      </c>
      <c r="L231" s="258">
        <v>544</v>
      </c>
      <c r="M231" s="258">
        <v>602</v>
      </c>
      <c r="N231" s="258">
        <v>614</v>
      </c>
      <c r="O231" s="258">
        <v>646</v>
      </c>
      <c r="P231" s="258">
        <v>597</v>
      </c>
      <c r="Q231" s="258">
        <v>662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45"/>
      <c r="B232" s="297" t="s">
        <v>7</v>
      </c>
      <c r="C232" s="307">
        <v>130</v>
      </c>
      <c r="D232" s="259">
        <v>212</v>
      </c>
      <c r="E232" s="259">
        <v>231</v>
      </c>
      <c r="F232" s="259">
        <v>311</v>
      </c>
      <c r="G232" s="259">
        <v>348</v>
      </c>
      <c r="H232" s="259">
        <v>514</v>
      </c>
      <c r="I232" s="259">
        <v>533</v>
      </c>
      <c r="J232" s="259">
        <v>697</v>
      </c>
      <c r="K232" s="259">
        <v>795</v>
      </c>
      <c r="L232" s="259">
        <v>856</v>
      </c>
      <c r="M232" s="259">
        <v>955</v>
      </c>
      <c r="N232" s="259">
        <v>1045</v>
      </c>
      <c r="O232" s="259">
        <v>1103</v>
      </c>
      <c r="P232" s="259">
        <v>1231</v>
      </c>
      <c r="Q232" s="259">
        <v>1357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58">
        <v>20</v>
      </c>
      <c r="B233" s="329" t="s">
        <v>2</v>
      </c>
      <c r="C233" s="318">
        <v>40.6</v>
      </c>
      <c r="D233" s="262">
        <v>56</v>
      </c>
      <c r="E233" s="262">
        <v>65.2</v>
      </c>
      <c r="F233" s="262">
        <v>83.2</v>
      </c>
      <c r="G233" s="262">
        <v>97.3</v>
      </c>
      <c r="H233" s="237">
        <v>112</v>
      </c>
      <c r="I233" s="237">
        <v>127</v>
      </c>
      <c r="J233" s="237">
        <v>154</v>
      </c>
      <c r="K233" s="237">
        <v>183</v>
      </c>
      <c r="L233" s="237">
        <v>201</v>
      </c>
      <c r="M233" s="237">
        <v>234</v>
      </c>
      <c r="N233" s="237">
        <v>243</v>
      </c>
      <c r="O233" s="237">
        <v>256</v>
      </c>
      <c r="P233" s="237">
        <v>216</v>
      </c>
      <c r="Q233" s="237">
        <v>231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1"/>
      <c r="B234" s="296" t="s">
        <v>3</v>
      </c>
      <c r="C234" s="319">
        <v>77.599999999999994</v>
      </c>
      <c r="D234" s="258">
        <v>114</v>
      </c>
      <c r="E234" s="258">
        <v>130</v>
      </c>
      <c r="F234" s="258">
        <v>171</v>
      </c>
      <c r="G234" s="258">
        <v>194</v>
      </c>
      <c r="H234" s="258">
        <v>244</v>
      </c>
      <c r="I234" s="258">
        <v>273</v>
      </c>
      <c r="J234" s="258">
        <v>398</v>
      </c>
      <c r="K234" s="258">
        <v>455</v>
      </c>
      <c r="L234" s="258">
        <v>530</v>
      </c>
      <c r="M234" s="258">
        <v>592</v>
      </c>
      <c r="N234" s="258">
        <v>694</v>
      </c>
      <c r="O234" s="258">
        <v>739</v>
      </c>
      <c r="P234" s="258">
        <v>879</v>
      </c>
      <c r="Q234" s="258">
        <v>923</v>
      </c>
      <c r="R234" s="258">
        <v>947</v>
      </c>
      <c r="S234" s="258">
        <v>1007</v>
      </c>
      <c r="T234" s="258">
        <v>1086</v>
      </c>
      <c r="U234" s="310">
        <v>1137</v>
      </c>
    </row>
    <row r="235" spans="1:21" ht="9.3000000000000007" customHeight="1">
      <c r="A235" s="1"/>
      <c r="B235" s="296" t="s">
        <v>5</v>
      </c>
      <c r="C235" s="319">
        <v>88.2</v>
      </c>
      <c r="D235" s="258">
        <v>152</v>
      </c>
      <c r="E235" s="258">
        <v>166</v>
      </c>
      <c r="F235" s="258">
        <v>219</v>
      </c>
      <c r="G235" s="258">
        <v>242</v>
      </c>
      <c r="H235" s="258">
        <v>378</v>
      </c>
      <c r="I235" s="258">
        <v>413</v>
      </c>
      <c r="J235" s="258">
        <v>452</v>
      </c>
      <c r="K235" s="258">
        <v>502</v>
      </c>
      <c r="L235" s="258">
        <v>515</v>
      </c>
      <c r="M235" s="258">
        <v>567</v>
      </c>
      <c r="N235" s="258">
        <v>599</v>
      </c>
      <c r="O235" s="258">
        <v>627</v>
      </c>
      <c r="P235" s="258">
        <v>591</v>
      </c>
      <c r="Q235" s="258">
        <v>613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45"/>
      <c r="B236" s="297" t="s">
        <v>7</v>
      </c>
      <c r="C236" s="307">
        <v>122</v>
      </c>
      <c r="D236" s="259">
        <v>203</v>
      </c>
      <c r="E236" s="259">
        <v>224</v>
      </c>
      <c r="F236" s="259">
        <v>297</v>
      </c>
      <c r="G236" s="259">
        <v>328</v>
      </c>
      <c r="H236" s="259">
        <v>492</v>
      </c>
      <c r="I236" s="259">
        <v>539</v>
      </c>
      <c r="J236" s="259">
        <v>668</v>
      </c>
      <c r="K236" s="259">
        <v>746</v>
      </c>
      <c r="L236" s="259">
        <v>808</v>
      </c>
      <c r="M236" s="259">
        <v>890</v>
      </c>
      <c r="N236" s="259">
        <v>1010</v>
      </c>
      <c r="O236" s="259">
        <v>1069</v>
      </c>
      <c r="P236" s="259">
        <v>1194</v>
      </c>
      <c r="Q236" s="259">
        <v>1250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58" t="s">
        <v>553</v>
      </c>
      <c r="B237" s="329" t="s">
        <v>2</v>
      </c>
      <c r="C237" s="318">
        <v>39.700000000000003</v>
      </c>
      <c r="D237" s="262">
        <v>55.5</v>
      </c>
      <c r="E237" s="262">
        <v>63.3</v>
      </c>
      <c r="F237" s="262">
        <v>80.7</v>
      </c>
      <c r="G237" s="262">
        <v>94.7</v>
      </c>
      <c r="H237" s="237">
        <v>109</v>
      </c>
      <c r="I237" s="237">
        <v>119</v>
      </c>
      <c r="J237" s="237">
        <v>152</v>
      </c>
      <c r="K237" s="237">
        <v>183</v>
      </c>
      <c r="L237" s="237">
        <v>199</v>
      </c>
      <c r="M237" s="237">
        <v>235</v>
      </c>
      <c r="N237" s="237">
        <v>255</v>
      </c>
      <c r="O237" s="237">
        <v>258</v>
      </c>
      <c r="P237" s="237">
        <v>247</v>
      </c>
      <c r="Q237" s="237">
        <v>239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1"/>
      <c r="B238" s="296" t="s">
        <v>3</v>
      </c>
      <c r="C238" s="319">
        <v>75.400000000000006</v>
      </c>
      <c r="D238" s="258">
        <v>112</v>
      </c>
      <c r="E238" s="258">
        <v>126</v>
      </c>
      <c r="F238" s="258">
        <v>165</v>
      </c>
      <c r="G238" s="258">
        <v>189</v>
      </c>
      <c r="H238" s="258">
        <v>236</v>
      </c>
      <c r="I238" s="258">
        <v>254</v>
      </c>
      <c r="J238" s="258">
        <v>380</v>
      </c>
      <c r="K238" s="258">
        <v>454</v>
      </c>
      <c r="L238" s="258">
        <v>509</v>
      </c>
      <c r="M238" s="258">
        <v>594</v>
      </c>
      <c r="N238" s="258">
        <v>682</v>
      </c>
      <c r="O238" s="258">
        <v>718</v>
      </c>
      <c r="P238" s="258">
        <v>871</v>
      </c>
      <c r="Q238" s="258">
        <v>900</v>
      </c>
      <c r="R238" s="258">
        <v>960</v>
      </c>
      <c r="S238" s="258">
        <v>984</v>
      </c>
      <c r="T238" s="258">
        <v>1106</v>
      </c>
      <c r="U238" s="310">
        <v>1119</v>
      </c>
    </row>
    <row r="239" spans="1:21" ht="9.3000000000000007" customHeight="1">
      <c r="A239" s="1"/>
      <c r="B239" s="296" t="s">
        <v>5</v>
      </c>
      <c r="C239" s="319">
        <v>85.8</v>
      </c>
      <c r="D239" s="258">
        <v>151</v>
      </c>
      <c r="E239" s="258">
        <v>161</v>
      </c>
      <c r="F239" s="258">
        <v>211</v>
      </c>
      <c r="G239" s="258">
        <v>235</v>
      </c>
      <c r="H239" s="258">
        <v>366</v>
      </c>
      <c r="I239" s="258">
        <v>385</v>
      </c>
      <c r="J239" s="258">
        <v>435</v>
      </c>
      <c r="K239" s="258">
        <v>501</v>
      </c>
      <c r="L239" s="258">
        <v>498</v>
      </c>
      <c r="M239" s="258">
        <v>569</v>
      </c>
      <c r="N239" s="258">
        <v>594</v>
      </c>
      <c r="O239" s="258">
        <v>611</v>
      </c>
      <c r="P239" s="258">
        <v>601</v>
      </c>
      <c r="Q239" s="258">
        <v>607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45"/>
      <c r="B240" s="297" t="s">
        <v>7</v>
      </c>
      <c r="C240" s="307">
        <v>118</v>
      </c>
      <c r="D240" s="259">
        <v>201</v>
      </c>
      <c r="E240" s="259">
        <v>217</v>
      </c>
      <c r="F240" s="259">
        <v>286</v>
      </c>
      <c r="G240" s="259">
        <v>319</v>
      </c>
      <c r="H240" s="259">
        <v>476</v>
      </c>
      <c r="I240" s="259">
        <v>502</v>
      </c>
      <c r="J240" s="259">
        <v>638</v>
      </c>
      <c r="K240" s="259">
        <v>744</v>
      </c>
      <c r="L240" s="259">
        <v>773</v>
      </c>
      <c r="M240" s="259">
        <v>892</v>
      </c>
      <c r="N240" s="259">
        <v>980</v>
      </c>
      <c r="O240" s="259">
        <v>1031</v>
      </c>
      <c r="P240" s="259">
        <v>1174</v>
      </c>
      <c r="Q240" s="259">
        <v>1213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58">
        <v>25</v>
      </c>
      <c r="B241" s="329" t="s">
        <v>2</v>
      </c>
      <c r="C241" s="318">
        <v>37.799999999999997</v>
      </c>
      <c r="D241" s="262">
        <v>53.2</v>
      </c>
      <c r="E241" s="262">
        <v>61</v>
      </c>
      <c r="F241" s="262">
        <v>78.599999999999994</v>
      </c>
      <c r="G241" s="262">
        <v>91.1</v>
      </c>
      <c r="H241" s="237">
        <v>106</v>
      </c>
      <c r="I241" s="237">
        <v>115</v>
      </c>
      <c r="J241" s="237">
        <v>147</v>
      </c>
      <c r="K241" s="237">
        <v>178</v>
      </c>
      <c r="L241" s="237">
        <v>198</v>
      </c>
      <c r="M241" s="237">
        <v>223</v>
      </c>
      <c r="N241" s="237">
        <v>252</v>
      </c>
      <c r="O241" s="237">
        <v>268</v>
      </c>
      <c r="P241" s="237">
        <v>264</v>
      </c>
      <c r="Q241" s="237">
        <v>268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1"/>
      <c r="B242" s="296" t="s">
        <v>3</v>
      </c>
      <c r="C242" s="319">
        <v>71.400000000000006</v>
      </c>
      <c r="D242" s="258">
        <v>107</v>
      </c>
      <c r="E242" s="258">
        <v>121</v>
      </c>
      <c r="F242" s="258">
        <v>159</v>
      </c>
      <c r="G242" s="258">
        <v>181</v>
      </c>
      <c r="H242" s="258">
        <v>225</v>
      </c>
      <c r="I242" s="258">
        <v>244</v>
      </c>
      <c r="J242" s="258">
        <v>359</v>
      </c>
      <c r="K242" s="258">
        <v>436</v>
      </c>
      <c r="L242" s="258">
        <v>483</v>
      </c>
      <c r="M242" s="258">
        <v>562</v>
      </c>
      <c r="N242" s="258">
        <v>641</v>
      </c>
      <c r="O242" s="258">
        <v>704</v>
      </c>
      <c r="P242" s="258">
        <v>830</v>
      </c>
      <c r="Q242" s="258">
        <v>893</v>
      </c>
      <c r="R242" s="258">
        <v>961</v>
      </c>
      <c r="S242" s="258">
        <v>995</v>
      </c>
      <c r="T242" s="258">
        <v>1108</v>
      </c>
      <c r="U242" s="310">
        <v>1136</v>
      </c>
    </row>
    <row r="243" spans="1:21" ht="9.3000000000000007" customHeight="1">
      <c r="A243" s="1"/>
      <c r="B243" s="296" t="s">
        <v>5</v>
      </c>
      <c r="C243" s="319">
        <v>80.900000000000006</v>
      </c>
      <c r="D243" s="258">
        <v>143</v>
      </c>
      <c r="E243" s="258">
        <v>154</v>
      </c>
      <c r="F243" s="258">
        <v>204</v>
      </c>
      <c r="G243" s="258">
        <v>225</v>
      </c>
      <c r="H243" s="258">
        <v>350</v>
      </c>
      <c r="I243" s="258">
        <v>369</v>
      </c>
      <c r="J243" s="258">
        <v>415</v>
      </c>
      <c r="K243" s="258">
        <v>481</v>
      </c>
      <c r="L243" s="258">
        <v>476</v>
      </c>
      <c r="M243" s="258">
        <v>539</v>
      </c>
      <c r="N243" s="258">
        <v>568</v>
      </c>
      <c r="O243" s="258">
        <v>605</v>
      </c>
      <c r="P243" s="258">
        <v>586</v>
      </c>
      <c r="Q243" s="258">
        <v>615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45"/>
      <c r="B244" s="297" t="s">
        <v>7</v>
      </c>
      <c r="C244" s="307">
        <v>111</v>
      </c>
      <c r="D244" s="259">
        <v>190</v>
      </c>
      <c r="E244" s="259">
        <v>208</v>
      </c>
      <c r="F244" s="259">
        <v>275</v>
      </c>
      <c r="G244" s="259">
        <v>305</v>
      </c>
      <c r="H244" s="259">
        <v>453</v>
      </c>
      <c r="I244" s="259">
        <v>480</v>
      </c>
      <c r="J244" s="259">
        <v>603</v>
      </c>
      <c r="K244" s="259">
        <v>712</v>
      </c>
      <c r="L244" s="259">
        <v>732</v>
      </c>
      <c r="M244" s="259">
        <v>841</v>
      </c>
      <c r="N244" s="259">
        <v>919</v>
      </c>
      <c r="O244" s="259">
        <v>1002</v>
      </c>
      <c r="P244" s="259">
        <v>1111</v>
      </c>
      <c r="Q244" s="259">
        <v>1191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58">
        <v>28</v>
      </c>
      <c r="B245" s="329" t="s">
        <v>2</v>
      </c>
      <c r="C245" s="318">
        <v>36.6</v>
      </c>
      <c r="D245" s="262">
        <v>51.7</v>
      </c>
      <c r="E245" s="262">
        <v>60.4</v>
      </c>
      <c r="F245" s="262">
        <v>75.3</v>
      </c>
      <c r="G245" s="262">
        <v>88.4</v>
      </c>
      <c r="H245" s="237">
        <v>102</v>
      </c>
      <c r="I245" s="237">
        <v>112</v>
      </c>
      <c r="J245" s="237">
        <v>142</v>
      </c>
      <c r="K245" s="237">
        <v>174</v>
      </c>
      <c r="L245" s="237">
        <v>193</v>
      </c>
      <c r="M245" s="237">
        <v>221</v>
      </c>
      <c r="N245" s="237">
        <v>254</v>
      </c>
      <c r="O245" s="237">
        <v>264</v>
      </c>
      <c r="P245" s="237">
        <v>272</v>
      </c>
      <c r="Q245" s="237">
        <v>281</v>
      </c>
      <c r="R245" s="237">
        <v>258</v>
      </c>
      <c r="S245" s="237">
        <v>259</v>
      </c>
      <c r="T245" s="237">
        <v>303</v>
      </c>
      <c r="U245" s="221" t="s">
        <v>21</v>
      </c>
    </row>
    <row r="246" spans="1:21" ht="9" customHeight="1">
      <c r="A246" s="1"/>
      <c r="B246" s="296" t="s">
        <v>3</v>
      </c>
      <c r="C246" s="319">
        <v>68.5</v>
      </c>
      <c r="D246" s="258">
        <v>103</v>
      </c>
      <c r="E246" s="258">
        <v>119</v>
      </c>
      <c r="F246" s="258">
        <v>150</v>
      </c>
      <c r="G246" s="258">
        <v>174</v>
      </c>
      <c r="H246" s="258">
        <v>214</v>
      </c>
      <c r="I246" s="258">
        <v>236</v>
      </c>
      <c r="J246" s="258">
        <v>341</v>
      </c>
      <c r="K246" s="258">
        <v>416</v>
      </c>
      <c r="L246" s="258">
        <v>459</v>
      </c>
      <c r="M246" s="258">
        <v>538</v>
      </c>
      <c r="N246" s="258">
        <v>626</v>
      </c>
      <c r="O246" s="258">
        <v>661</v>
      </c>
      <c r="P246" s="258">
        <v>817</v>
      </c>
      <c r="Q246" s="258">
        <v>849</v>
      </c>
      <c r="R246" s="258">
        <v>947</v>
      </c>
      <c r="S246" s="258">
        <v>990</v>
      </c>
      <c r="T246" s="258">
        <v>1091</v>
      </c>
      <c r="U246" s="310">
        <v>1133</v>
      </c>
    </row>
    <row r="247" spans="1:21" ht="9.3000000000000007" customHeight="1">
      <c r="A247" s="1"/>
      <c r="B247" s="296" t="s">
        <v>5</v>
      </c>
      <c r="C247" s="319">
        <v>76.099999999999994</v>
      </c>
      <c r="D247" s="258">
        <v>135</v>
      </c>
      <c r="E247" s="258">
        <v>154</v>
      </c>
      <c r="F247" s="258">
        <v>195</v>
      </c>
      <c r="G247" s="258">
        <v>216</v>
      </c>
      <c r="H247" s="258">
        <v>335</v>
      </c>
      <c r="I247" s="258">
        <v>357</v>
      </c>
      <c r="J247" s="258">
        <v>397</v>
      </c>
      <c r="K247" s="258">
        <v>462</v>
      </c>
      <c r="L247" s="258">
        <v>457</v>
      </c>
      <c r="M247" s="258">
        <v>520</v>
      </c>
      <c r="N247" s="258">
        <v>557</v>
      </c>
      <c r="O247" s="258">
        <v>579</v>
      </c>
      <c r="P247" s="258">
        <v>584</v>
      </c>
      <c r="Q247" s="258">
        <v>599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45"/>
      <c r="B248" s="297" t="s">
        <v>7</v>
      </c>
      <c r="C248" s="307">
        <v>105</v>
      </c>
      <c r="D248" s="259">
        <v>180</v>
      </c>
      <c r="E248" s="259">
        <v>206</v>
      </c>
      <c r="F248" s="259">
        <v>261</v>
      </c>
      <c r="G248" s="259">
        <v>293</v>
      </c>
      <c r="H248" s="259">
        <v>431</v>
      </c>
      <c r="I248" s="259">
        <v>465</v>
      </c>
      <c r="J248" s="259">
        <v>575</v>
      </c>
      <c r="K248" s="259">
        <v>680</v>
      </c>
      <c r="L248" s="259">
        <v>697</v>
      </c>
      <c r="M248" s="259">
        <v>804</v>
      </c>
      <c r="N248" s="259">
        <v>894</v>
      </c>
      <c r="O248" s="259">
        <v>938</v>
      </c>
      <c r="P248" s="259">
        <v>1086</v>
      </c>
      <c r="Q248" s="259">
        <v>1126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58" t="s">
        <v>556</v>
      </c>
      <c r="B249" s="329" t="s">
        <v>2</v>
      </c>
      <c r="C249" s="318">
        <v>34.799999999999997</v>
      </c>
      <c r="D249" s="262">
        <v>49.3</v>
      </c>
      <c r="E249" s="262">
        <v>57.8</v>
      </c>
      <c r="F249" s="262">
        <v>72</v>
      </c>
      <c r="G249" s="262">
        <v>86</v>
      </c>
      <c r="H249" s="262">
        <v>98.3</v>
      </c>
      <c r="I249" s="237">
        <v>109</v>
      </c>
      <c r="J249" s="237">
        <v>137</v>
      </c>
      <c r="K249" s="237">
        <v>168</v>
      </c>
      <c r="L249" s="237">
        <v>187</v>
      </c>
      <c r="M249" s="237">
        <v>218</v>
      </c>
      <c r="N249" s="237">
        <v>245</v>
      </c>
      <c r="O249" s="237">
        <v>265</v>
      </c>
      <c r="P249" s="237">
        <v>269</v>
      </c>
      <c r="Q249" s="237">
        <v>289</v>
      </c>
      <c r="R249" s="237">
        <v>276</v>
      </c>
      <c r="S249" s="237">
        <v>285</v>
      </c>
      <c r="T249" s="237">
        <v>325</v>
      </c>
      <c r="U249" s="316">
        <v>332</v>
      </c>
    </row>
    <row r="250" spans="1:21" ht="9" customHeight="1">
      <c r="A250" s="1"/>
      <c r="B250" s="296" t="s">
        <v>3</v>
      </c>
      <c r="C250" s="319">
        <v>65</v>
      </c>
      <c r="D250" s="320">
        <v>97.6</v>
      </c>
      <c r="E250" s="258">
        <v>113</v>
      </c>
      <c r="F250" s="258">
        <v>143</v>
      </c>
      <c r="G250" s="258">
        <v>168</v>
      </c>
      <c r="H250" s="258">
        <v>204</v>
      </c>
      <c r="I250" s="258">
        <v>224</v>
      </c>
      <c r="J250" s="258">
        <v>324</v>
      </c>
      <c r="K250" s="258">
        <v>393</v>
      </c>
      <c r="L250" s="258">
        <v>436</v>
      </c>
      <c r="M250" s="258">
        <v>510</v>
      </c>
      <c r="N250" s="258">
        <v>584</v>
      </c>
      <c r="O250" s="258">
        <v>645</v>
      </c>
      <c r="P250" s="258">
        <v>768</v>
      </c>
      <c r="Q250" s="258">
        <v>835</v>
      </c>
      <c r="R250" s="258">
        <v>915</v>
      </c>
      <c r="S250" s="258">
        <v>973</v>
      </c>
      <c r="T250" s="258">
        <v>1052</v>
      </c>
      <c r="U250" s="310">
        <v>1112</v>
      </c>
    </row>
    <row r="251" spans="1:21" ht="9.3000000000000007" customHeight="1">
      <c r="A251" s="1"/>
      <c r="B251" s="296" t="s">
        <v>5</v>
      </c>
      <c r="C251" s="319">
        <v>71</v>
      </c>
      <c r="D251" s="258">
        <v>125</v>
      </c>
      <c r="E251" s="258">
        <v>145</v>
      </c>
      <c r="F251" s="258">
        <v>186</v>
      </c>
      <c r="G251" s="258">
        <v>209</v>
      </c>
      <c r="H251" s="258">
        <v>318</v>
      </c>
      <c r="I251" s="258">
        <v>341</v>
      </c>
      <c r="J251" s="258">
        <v>379</v>
      </c>
      <c r="K251" s="258">
        <v>440</v>
      </c>
      <c r="L251" s="258">
        <v>437</v>
      </c>
      <c r="M251" s="258">
        <v>497</v>
      </c>
      <c r="N251" s="258">
        <v>527</v>
      </c>
      <c r="O251" s="258">
        <v>568</v>
      </c>
      <c r="P251" s="258">
        <v>563</v>
      </c>
      <c r="Q251" s="258">
        <v>596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45"/>
      <c r="B252" s="297" t="s">
        <v>7</v>
      </c>
      <c r="C252" s="321">
        <v>98.6</v>
      </c>
      <c r="D252" s="259">
        <v>168</v>
      </c>
      <c r="E252" s="259">
        <v>194</v>
      </c>
      <c r="F252" s="259">
        <v>249</v>
      </c>
      <c r="G252" s="259">
        <v>282</v>
      </c>
      <c r="H252" s="259">
        <v>408</v>
      </c>
      <c r="I252" s="259">
        <v>442</v>
      </c>
      <c r="J252" s="259">
        <v>545</v>
      </c>
      <c r="K252" s="259">
        <v>642</v>
      </c>
      <c r="L252" s="259">
        <v>663</v>
      </c>
      <c r="M252" s="259">
        <v>761</v>
      </c>
      <c r="N252" s="259">
        <v>837</v>
      </c>
      <c r="O252" s="259">
        <v>912</v>
      </c>
      <c r="P252" s="259">
        <v>1021</v>
      </c>
      <c r="Q252" s="259">
        <v>1101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58" t="s">
        <v>557</v>
      </c>
      <c r="B253" s="329" t="s">
        <v>2</v>
      </c>
      <c r="C253" s="318">
        <v>33.1</v>
      </c>
      <c r="D253" s="262">
        <v>46.8</v>
      </c>
      <c r="E253" s="262">
        <v>56.1</v>
      </c>
      <c r="F253" s="262">
        <v>68.8</v>
      </c>
      <c r="G253" s="262">
        <v>82.1</v>
      </c>
      <c r="H253" s="262">
        <v>93.9</v>
      </c>
      <c r="I253" s="237">
        <v>105</v>
      </c>
      <c r="J253" s="237">
        <v>133</v>
      </c>
      <c r="K253" s="237">
        <v>162</v>
      </c>
      <c r="L253" s="237">
        <v>182</v>
      </c>
      <c r="M253" s="237">
        <v>211</v>
      </c>
      <c r="N253" s="237">
        <v>241</v>
      </c>
      <c r="O253" s="237">
        <v>257</v>
      </c>
      <c r="P253" s="237">
        <v>266</v>
      </c>
      <c r="Q253" s="237">
        <v>284</v>
      </c>
      <c r="R253" s="237">
        <v>281</v>
      </c>
      <c r="S253" s="237">
        <v>301</v>
      </c>
      <c r="T253" s="237">
        <v>331</v>
      </c>
      <c r="U253" s="316">
        <v>350</v>
      </c>
    </row>
    <row r="254" spans="1:21" ht="9" customHeight="1">
      <c r="A254" s="1"/>
      <c r="B254" s="296" t="s">
        <v>3</v>
      </c>
      <c r="C254" s="319">
        <v>61.2</v>
      </c>
      <c r="D254" s="320">
        <v>91.6</v>
      </c>
      <c r="E254" s="258">
        <v>109</v>
      </c>
      <c r="F254" s="258">
        <v>135</v>
      </c>
      <c r="G254" s="258">
        <v>159</v>
      </c>
      <c r="H254" s="258">
        <v>192</v>
      </c>
      <c r="I254" s="258">
        <v>214</v>
      </c>
      <c r="J254" s="258">
        <v>311</v>
      </c>
      <c r="K254" s="258">
        <v>373</v>
      </c>
      <c r="L254" s="258">
        <v>419</v>
      </c>
      <c r="M254" s="258">
        <v>485</v>
      </c>
      <c r="N254" s="258">
        <v>563</v>
      </c>
      <c r="O254" s="258">
        <v>602</v>
      </c>
      <c r="P254" s="258">
        <v>741</v>
      </c>
      <c r="Q254" s="258">
        <v>784</v>
      </c>
      <c r="R254" s="258">
        <v>893</v>
      </c>
      <c r="S254" s="258">
        <v>938</v>
      </c>
      <c r="T254" s="258">
        <v>1027</v>
      </c>
      <c r="U254" s="310">
        <v>1070</v>
      </c>
    </row>
    <row r="255" spans="1:21" ht="9.3000000000000007" customHeight="1">
      <c r="A255" s="1"/>
      <c r="B255" s="296" t="s">
        <v>5</v>
      </c>
      <c r="C255" s="319">
        <v>65.3</v>
      </c>
      <c r="D255" s="258">
        <v>114</v>
      </c>
      <c r="E255" s="258">
        <v>137</v>
      </c>
      <c r="F255" s="258">
        <v>177</v>
      </c>
      <c r="G255" s="258">
        <v>199</v>
      </c>
      <c r="H255" s="258">
        <v>288</v>
      </c>
      <c r="I255" s="258">
        <v>327</v>
      </c>
      <c r="J255" s="258">
        <v>366</v>
      </c>
      <c r="K255" s="258">
        <v>421</v>
      </c>
      <c r="L255" s="258">
        <v>423</v>
      </c>
      <c r="M255" s="258">
        <v>476</v>
      </c>
      <c r="N255" s="258">
        <v>511</v>
      </c>
      <c r="O255" s="258">
        <v>537</v>
      </c>
      <c r="P255" s="258">
        <v>548</v>
      </c>
      <c r="Q255" s="258">
        <v>574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45"/>
      <c r="B256" s="297" t="s">
        <v>7</v>
      </c>
      <c r="C256" s="321">
        <v>91.1</v>
      </c>
      <c r="D256" s="259">
        <v>154</v>
      </c>
      <c r="E256" s="259">
        <v>184</v>
      </c>
      <c r="F256" s="259">
        <v>236</v>
      </c>
      <c r="G256" s="259">
        <v>268</v>
      </c>
      <c r="H256" s="259">
        <v>373</v>
      </c>
      <c r="I256" s="259">
        <v>421</v>
      </c>
      <c r="J256" s="259">
        <v>525</v>
      </c>
      <c r="K256" s="259">
        <v>611</v>
      </c>
      <c r="L256" s="259">
        <v>638</v>
      </c>
      <c r="M256" s="259">
        <v>724</v>
      </c>
      <c r="N256" s="259">
        <v>807</v>
      </c>
      <c r="O256" s="259">
        <v>853</v>
      </c>
      <c r="P256" s="259">
        <v>984</v>
      </c>
      <c r="Q256" s="259">
        <v>1034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58">
        <v>40</v>
      </c>
      <c r="B257" s="329" t="s">
        <v>2</v>
      </c>
      <c r="C257" s="318">
        <v>29</v>
      </c>
      <c r="D257" s="262">
        <v>41.2</v>
      </c>
      <c r="E257" s="262">
        <v>53.5</v>
      </c>
      <c r="F257" s="262">
        <v>60.8</v>
      </c>
      <c r="G257" s="262">
        <v>78.5</v>
      </c>
      <c r="H257" s="262">
        <v>88.3</v>
      </c>
      <c r="I257" s="237">
        <v>101</v>
      </c>
      <c r="J257" s="237">
        <v>126</v>
      </c>
      <c r="K257" s="237">
        <v>155</v>
      </c>
      <c r="L257" s="237">
        <v>174</v>
      </c>
      <c r="M257" s="237">
        <v>204</v>
      </c>
      <c r="N257" s="237">
        <v>232</v>
      </c>
      <c r="O257" s="237">
        <v>251</v>
      </c>
      <c r="P257" s="237">
        <v>263</v>
      </c>
      <c r="Q257" s="237">
        <v>281</v>
      </c>
      <c r="R257" s="237">
        <v>284</v>
      </c>
      <c r="S257" s="237">
        <v>304</v>
      </c>
      <c r="T257" s="237">
        <v>335</v>
      </c>
      <c r="U257" s="316">
        <v>354</v>
      </c>
    </row>
    <row r="258" spans="1:21" ht="9" customHeight="1">
      <c r="A258" s="1"/>
      <c r="B258" s="296" t="s">
        <v>3</v>
      </c>
      <c r="C258" s="319">
        <v>52.8</v>
      </c>
      <c r="D258" s="320">
        <v>79.5</v>
      </c>
      <c r="E258" s="258">
        <v>103</v>
      </c>
      <c r="F258" s="258">
        <v>117</v>
      </c>
      <c r="G258" s="258">
        <v>151</v>
      </c>
      <c r="H258" s="258">
        <v>178</v>
      </c>
      <c r="I258" s="258">
        <v>204</v>
      </c>
      <c r="J258" s="258">
        <v>292</v>
      </c>
      <c r="K258" s="258">
        <v>353</v>
      </c>
      <c r="L258" s="258">
        <v>395</v>
      </c>
      <c r="M258" s="258">
        <v>460</v>
      </c>
      <c r="N258" s="258">
        <v>533</v>
      </c>
      <c r="O258" s="258">
        <v>581</v>
      </c>
      <c r="P258" s="258">
        <v>704</v>
      </c>
      <c r="Q258" s="258">
        <v>756</v>
      </c>
      <c r="R258" s="258">
        <v>856</v>
      </c>
      <c r="S258" s="258">
        <v>915</v>
      </c>
      <c r="T258" s="258">
        <v>980</v>
      </c>
      <c r="U258" s="310">
        <v>1044</v>
      </c>
    </row>
    <row r="259" spans="1:21" ht="9.3000000000000007" customHeight="1">
      <c r="A259" s="1"/>
      <c r="B259" s="296" t="s">
        <v>5</v>
      </c>
      <c r="C259" s="319">
        <v>54</v>
      </c>
      <c r="D259" s="320">
        <v>94.3</v>
      </c>
      <c r="E259" s="258">
        <v>128</v>
      </c>
      <c r="F259" s="258">
        <v>154</v>
      </c>
      <c r="G259" s="258">
        <v>190</v>
      </c>
      <c r="H259" s="258">
        <v>258</v>
      </c>
      <c r="I259" s="258">
        <v>313</v>
      </c>
      <c r="J259" s="258">
        <v>348</v>
      </c>
      <c r="K259" s="258">
        <v>402</v>
      </c>
      <c r="L259" s="258">
        <v>402</v>
      </c>
      <c r="M259" s="258">
        <v>456</v>
      </c>
      <c r="N259" s="258">
        <v>488</v>
      </c>
      <c r="O259" s="258">
        <v>520</v>
      </c>
      <c r="P259" s="258">
        <v>528</v>
      </c>
      <c r="Q259" s="258">
        <v>559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45"/>
      <c r="B260" s="297" t="s">
        <v>7</v>
      </c>
      <c r="C260" s="321">
        <v>76.099999999999994</v>
      </c>
      <c r="D260" s="259">
        <v>129</v>
      </c>
      <c r="E260" s="259">
        <v>172</v>
      </c>
      <c r="F260" s="259">
        <v>204</v>
      </c>
      <c r="G260" s="259">
        <v>255</v>
      </c>
      <c r="H260" s="259">
        <v>337</v>
      </c>
      <c r="I260" s="259">
        <v>402</v>
      </c>
      <c r="J260" s="259">
        <v>495</v>
      </c>
      <c r="K260" s="259">
        <v>580</v>
      </c>
      <c r="L260" s="259">
        <v>602</v>
      </c>
      <c r="M260" s="259">
        <v>688</v>
      </c>
      <c r="N260" s="259">
        <v>764</v>
      </c>
      <c r="O260" s="259">
        <v>822</v>
      </c>
      <c r="P260" s="259">
        <v>935</v>
      </c>
      <c r="Q260" s="259">
        <v>997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58">
        <v>45</v>
      </c>
      <c r="B261" s="329" t="s">
        <v>2</v>
      </c>
      <c r="C261" s="318">
        <v>28.3</v>
      </c>
      <c r="D261" s="262">
        <v>40.1</v>
      </c>
      <c r="E261" s="262">
        <v>50.7</v>
      </c>
      <c r="F261" s="262">
        <v>59.1</v>
      </c>
      <c r="G261" s="262">
        <v>74.900000000000006</v>
      </c>
      <c r="H261" s="262">
        <v>82</v>
      </c>
      <c r="I261" s="262">
        <v>96.4</v>
      </c>
      <c r="J261" s="237">
        <v>118</v>
      </c>
      <c r="K261" s="237">
        <v>151</v>
      </c>
      <c r="L261" s="237">
        <v>161</v>
      </c>
      <c r="M261" s="237">
        <v>198</v>
      </c>
      <c r="N261" s="237">
        <v>217</v>
      </c>
      <c r="O261" s="237">
        <v>242</v>
      </c>
      <c r="P261" s="237">
        <v>250</v>
      </c>
      <c r="Q261" s="237">
        <v>276</v>
      </c>
      <c r="R261" s="237">
        <v>277</v>
      </c>
      <c r="S261" s="237">
        <v>305</v>
      </c>
      <c r="T261" s="237">
        <v>325</v>
      </c>
      <c r="U261" s="316">
        <v>356</v>
      </c>
    </row>
    <row r="262" spans="1:21" ht="9" customHeight="1">
      <c r="A262" s="1"/>
      <c r="B262" s="296" t="s">
        <v>3</v>
      </c>
      <c r="C262" s="319">
        <v>51.3</v>
      </c>
      <c r="D262" s="320">
        <v>77</v>
      </c>
      <c r="E262" s="320">
        <v>97.1</v>
      </c>
      <c r="F262" s="258">
        <v>113</v>
      </c>
      <c r="G262" s="258">
        <v>142</v>
      </c>
      <c r="H262" s="258">
        <v>164</v>
      </c>
      <c r="I262" s="258">
        <v>192</v>
      </c>
      <c r="J262" s="258">
        <v>268</v>
      </c>
      <c r="K262" s="258">
        <v>339</v>
      </c>
      <c r="L262" s="258">
        <v>361</v>
      </c>
      <c r="M262" s="258">
        <v>442</v>
      </c>
      <c r="N262" s="258">
        <v>491</v>
      </c>
      <c r="O262" s="258">
        <v>549</v>
      </c>
      <c r="P262" s="258">
        <v>653</v>
      </c>
      <c r="Q262" s="258">
        <v>719</v>
      </c>
      <c r="R262" s="258">
        <v>801</v>
      </c>
      <c r="S262" s="258">
        <v>876</v>
      </c>
      <c r="T262" s="258">
        <v>914</v>
      </c>
      <c r="U262" s="310">
        <v>996</v>
      </c>
    </row>
    <row r="263" spans="1:21" ht="9.3000000000000007" customHeight="1">
      <c r="A263" s="1"/>
      <c r="B263" s="296" t="s">
        <v>5</v>
      </c>
      <c r="C263" s="319">
        <v>52.4</v>
      </c>
      <c r="D263" s="320">
        <v>90.5</v>
      </c>
      <c r="E263" s="258">
        <v>117</v>
      </c>
      <c r="F263" s="258">
        <v>147</v>
      </c>
      <c r="G263" s="258">
        <v>181</v>
      </c>
      <c r="H263" s="258">
        <v>231</v>
      </c>
      <c r="I263" s="258">
        <v>294</v>
      </c>
      <c r="J263" s="258">
        <v>324</v>
      </c>
      <c r="K263" s="258">
        <v>388</v>
      </c>
      <c r="L263" s="258">
        <v>373</v>
      </c>
      <c r="M263" s="258">
        <v>441</v>
      </c>
      <c r="N263" s="258">
        <v>455</v>
      </c>
      <c r="O263" s="258">
        <v>497</v>
      </c>
      <c r="P263" s="258">
        <v>495</v>
      </c>
      <c r="Q263" s="258">
        <v>537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95" customHeight="1">
      <c r="A264" s="45"/>
      <c r="B264" s="297" t="s">
        <v>7</v>
      </c>
      <c r="C264" s="321">
        <v>73.8</v>
      </c>
      <c r="D264" s="259">
        <v>124</v>
      </c>
      <c r="E264" s="259">
        <v>158</v>
      </c>
      <c r="F264" s="259">
        <v>196</v>
      </c>
      <c r="G264" s="259">
        <v>241</v>
      </c>
      <c r="H264" s="259">
        <v>303</v>
      </c>
      <c r="I264" s="259">
        <v>376</v>
      </c>
      <c r="J264" s="259">
        <v>458</v>
      </c>
      <c r="K264" s="259">
        <v>558</v>
      </c>
      <c r="L264" s="259">
        <v>554</v>
      </c>
      <c r="M264" s="259">
        <v>662</v>
      </c>
      <c r="N264" s="259">
        <v>706</v>
      </c>
      <c r="O264" s="259">
        <v>779</v>
      </c>
      <c r="P264" s="259">
        <v>870</v>
      </c>
      <c r="Q264" s="259">
        <v>948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199999999999999" customHeight="1">
      <c r="A265" s="58">
        <v>50</v>
      </c>
      <c r="B265" s="329" t="s">
        <v>2</v>
      </c>
      <c r="C265" s="318">
        <v>29.1</v>
      </c>
      <c r="D265" s="262">
        <v>40.4</v>
      </c>
      <c r="E265" s="262">
        <v>44.7</v>
      </c>
      <c r="F265" s="262">
        <v>59.7</v>
      </c>
      <c r="G265" s="262">
        <v>66.2</v>
      </c>
      <c r="H265" s="262">
        <v>82.8</v>
      </c>
      <c r="I265" s="262">
        <v>90.5</v>
      </c>
      <c r="J265" s="237">
        <v>122</v>
      </c>
      <c r="K265" s="237">
        <v>143</v>
      </c>
      <c r="L265" s="237">
        <v>169</v>
      </c>
      <c r="M265" s="237">
        <v>189</v>
      </c>
      <c r="N265" s="237">
        <v>239</v>
      </c>
      <c r="O265" s="237">
        <v>226</v>
      </c>
      <c r="P265" s="237">
        <v>290</v>
      </c>
      <c r="Q265" s="237">
        <v>262</v>
      </c>
      <c r="R265" s="237">
        <v>324</v>
      </c>
      <c r="S265" s="237">
        <v>296</v>
      </c>
      <c r="T265" s="237">
        <v>408</v>
      </c>
      <c r="U265" s="316">
        <v>344</v>
      </c>
    </row>
    <row r="266" spans="1:21" ht="9" customHeight="1">
      <c r="A266" s="1"/>
      <c r="B266" s="296" t="s">
        <v>3</v>
      </c>
      <c r="C266" s="319">
        <v>51.6</v>
      </c>
      <c r="D266" s="320">
        <v>75.7</v>
      </c>
      <c r="E266" s="320">
        <v>84.2</v>
      </c>
      <c r="F266" s="258">
        <v>112</v>
      </c>
      <c r="G266" s="258">
        <v>124</v>
      </c>
      <c r="H266" s="258">
        <v>161</v>
      </c>
      <c r="I266" s="258">
        <v>179</v>
      </c>
      <c r="J266" s="258">
        <v>266</v>
      </c>
      <c r="K266" s="258">
        <v>318</v>
      </c>
      <c r="L266" s="258">
        <v>365</v>
      </c>
      <c r="M266" s="258">
        <v>416</v>
      </c>
      <c r="N266" s="258">
        <v>508</v>
      </c>
      <c r="O266" s="258">
        <v>506</v>
      </c>
      <c r="P266" s="258">
        <v>684</v>
      </c>
      <c r="Q266" s="258">
        <v>667</v>
      </c>
      <c r="R266" s="258">
        <v>828</v>
      </c>
      <c r="S266" s="258">
        <v>820</v>
      </c>
      <c r="T266" s="258">
        <v>977</v>
      </c>
      <c r="U266" s="310">
        <v>929</v>
      </c>
    </row>
    <row r="267" spans="1:21" ht="9.3000000000000007" customHeight="1">
      <c r="A267" s="1"/>
      <c r="B267" s="296" t="s">
        <v>5</v>
      </c>
      <c r="C267" s="319">
        <v>52.6</v>
      </c>
      <c r="D267" s="320">
        <v>88.2</v>
      </c>
      <c r="E267" s="320">
        <v>96.3</v>
      </c>
      <c r="F267" s="258">
        <v>143</v>
      </c>
      <c r="G267" s="258">
        <v>158</v>
      </c>
      <c r="H267" s="258">
        <v>223</v>
      </c>
      <c r="I267" s="258">
        <v>263</v>
      </c>
      <c r="J267" s="258">
        <v>321</v>
      </c>
      <c r="K267" s="258">
        <v>368</v>
      </c>
      <c r="L267" s="258">
        <v>378</v>
      </c>
      <c r="M267" s="258">
        <v>418</v>
      </c>
      <c r="N267" s="258">
        <v>473</v>
      </c>
      <c r="O267" s="258">
        <v>463</v>
      </c>
      <c r="P267" s="258">
        <v>530</v>
      </c>
      <c r="Q267" s="258">
        <v>505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95" customHeight="1">
      <c r="A268" s="45"/>
      <c r="B268" s="297" t="s">
        <v>7</v>
      </c>
      <c r="C268" s="321">
        <v>73.5</v>
      </c>
      <c r="D268" s="259">
        <v>120</v>
      </c>
      <c r="E268" s="259">
        <v>132</v>
      </c>
      <c r="F268" s="259">
        <v>190</v>
      </c>
      <c r="G268" s="259">
        <v>210</v>
      </c>
      <c r="H268" s="259">
        <v>292</v>
      </c>
      <c r="I268" s="259">
        <v>340</v>
      </c>
      <c r="J268" s="259">
        <v>449</v>
      </c>
      <c r="K268" s="259">
        <v>526</v>
      </c>
      <c r="L268" s="259">
        <v>555</v>
      </c>
      <c r="M268" s="259">
        <v>625</v>
      </c>
      <c r="N268" s="259">
        <v>720</v>
      </c>
      <c r="O268" s="259">
        <v>720</v>
      </c>
      <c r="P268" s="259">
        <v>897</v>
      </c>
      <c r="Q268" s="259">
        <v>882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199999999999999" customHeight="1">
      <c r="A269" s="58">
        <v>56</v>
      </c>
      <c r="B269" s="329" t="s">
        <v>2</v>
      </c>
      <c r="C269" s="318">
        <v>26.6</v>
      </c>
      <c r="D269" s="262">
        <v>37.1</v>
      </c>
      <c r="E269" s="262">
        <v>43.5</v>
      </c>
      <c r="F269" s="262">
        <v>55</v>
      </c>
      <c r="G269" s="262">
        <v>64.3</v>
      </c>
      <c r="H269" s="262">
        <v>75.900000000000006</v>
      </c>
      <c r="I269" s="262">
        <v>84.2</v>
      </c>
      <c r="J269" s="237">
        <v>112</v>
      </c>
      <c r="K269" s="237">
        <v>133</v>
      </c>
      <c r="L269" s="237">
        <v>157</v>
      </c>
      <c r="M269" s="237">
        <v>174</v>
      </c>
      <c r="N269" s="237">
        <v>222</v>
      </c>
      <c r="O269" s="237">
        <v>248</v>
      </c>
      <c r="P269" s="237">
        <v>271</v>
      </c>
      <c r="Q269" s="237">
        <v>302</v>
      </c>
      <c r="R269" s="237">
        <v>312</v>
      </c>
      <c r="S269" s="237">
        <v>345</v>
      </c>
      <c r="T269" s="237">
        <v>386</v>
      </c>
      <c r="U269" s="316">
        <v>426</v>
      </c>
    </row>
    <row r="270" spans="1:21" ht="9" customHeight="1">
      <c r="A270" s="1"/>
      <c r="B270" s="296" t="s">
        <v>3</v>
      </c>
      <c r="C270" s="319">
        <v>46.7</v>
      </c>
      <c r="D270" s="320">
        <v>68.900000000000006</v>
      </c>
      <c r="E270" s="320">
        <v>81.599999999999994</v>
      </c>
      <c r="F270" s="258">
        <v>102</v>
      </c>
      <c r="G270" s="258">
        <v>120</v>
      </c>
      <c r="H270" s="258">
        <v>146</v>
      </c>
      <c r="I270" s="258">
        <v>165</v>
      </c>
      <c r="J270" s="258">
        <v>242</v>
      </c>
      <c r="K270" s="258">
        <v>293</v>
      </c>
      <c r="L270" s="258">
        <v>334</v>
      </c>
      <c r="M270" s="258">
        <v>381</v>
      </c>
      <c r="N270" s="258">
        <v>465</v>
      </c>
      <c r="O270" s="258">
        <v>522</v>
      </c>
      <c r="P270" s="258">
        <v>628</v>
      </c>
      <c r="Q270" s="258">
        <v>697</v>
      </c>
      <c r="R270" s="258">
        <v>766</v>
      </c>
      <c r="S270" s="258">
        <v>845</v>
      </c>
      <c r="T270" s="258">
        <v>901</v>
      </c>
      <c r="U270" s="310">
        <v>990</v>
      </c>
    </row>
    <row r="271" spans="1:21" ht="9.3000000000000007" customHeight="1">
      <c r="A271" s="1"/>
      <c r="B271" s="296" t="s">
        <v>5</v>
      </c>
      <c r="C271" s="319">
        <v>46.8</v>
      </c>
      <c r="D271" s="320">
        <v>78.900000000000006</v>
      </c>
      <c r="E271" s="320">
        <v>92.5</v>
      </c>
      <c r="F271" s="258">
        <v>129</v>
      </c>
      <c r="G271" s="258">
        <v>151</v>
      </c>
      <c r="H271" s="258">
        <v>197</v>
      </c>
      <c r="I271" s="258">
        <v>237</v>
      </c>
      <c r="J271" s="258">
        <v>286</v>
      </c>
      <c r="K271" s="258">
        <v>342</v>
      </c>
      <c r="L271" s="258">
        <v>349</v>
      </c>
      <c r="M271" s="258">
        <v>387</v>
      </c>
      <c r="N271" s="258">
        <v>438</v>
      </c>
      <c r="O271" s="258">
        <v>481</v>
      </c>
      <c r="P271" s="258">
        <v>493</v>
      </c>
      <c r="Q271" s="258">
        <v>539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1"/>
      <c r="B272" s="296" t="s">
        <v>7</v>
      </c>
      <c r="C272" s="319">
        <v>65.599999999999994</v>
      </c>
      <c r="D272" s="258">
        <v>108</v>
      </c>
      <c r="E272" s="258">
        <v>127</v>
      </c>
      <c r="F272" s="258">
        <v>171</v>
      </c>
      <c r="G272" s="258">
        <v>201</v>
      </c>
      <c r="H272" s="258">
        <v>259</v>
      </c>
      <c r="I272" s="258">
        <v>307</v>
      </c>
      <c r="J272" s="258">
        <v>402</v>
      </c>
      <c r="K272" s="258">
        <v>485</v>
      </c>
      <c r="L272" s="258">
        <v>509</v>
      </c>
      <c r="M272" s="258">
        <v>575</v>
      </c>
      <c r="N272" s="258">
        <v>661</v>
      </c>
      <c r="O272" s="258">
        <v>733</v>
      </c>
      <c r="P272" s="258">
        <v>826</v>
      </c>
      <c r="Q272" s="258">
        <v>908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5" customHeight="1">
      <c r="A273" s="58">
        <v>63</v>
      </c>
      <c r="B273" s="329" t="s">
        <v>2</v>
      </c>
      <c r="C273" s="318">
        <v>25.4</v>
      </c>
      <c r="D273" s="262">
        <v>35.5</v>
      </c>
      <c r="E273" s="262">
        <v>43.7</v>
      </c>
      <c r="F273" s="262">
        <v>52.8</v>
      </c>
      <c r="G273" s="262">
        <v>64.7</v>
      </c>
      <c r="H273" s="262">
        <v>72.7</v>
      </c>
      <c r="I273" s="262">
        <v>84.8</v>
      </c>
      <c r="J273" s="237">
        <v>107</v>
      </c>
      <c r="K273" s="237">
        <v>137</v>
      </c>
      <c r="L273" s="237">
        <v>150</v>
      </c>
      <c r="M273" s="237">
        <v>183</v>
      </c>
      <c r="N273" s="237">
        <v>214</v>
      </c>
      <c r="O273" s="237">
        <v>230</v>
      </c>
      <c r="P273" s="237">
        <v>263</v>
      </c>
      <c r="Q273" s="237">
        <v>282</v>
      </c>
      <c r="R273" s="237">
        <v>306</v>
      </c>
      <c r="S273" s="237">
        <v>329</v>
      </c>
      <c r="T273" s="237">
        <v>380</v>
      </c>
      <c r="U273" s="316">
        <v>402</v>
      </c>
    </row>
    <row r="274" spans="1:21" ht="9" customHeight="1">
      <c r="A274" s="1"/>
      <c r="B274" s="296" t="s">
        <v>3</v>
      </c>
      <c r="C274" s="319">
        <v>44.4</v>
      </c>
      <c r="D274" s="320">
        <v>65.400000000000006</v>
      </c>
      <c r="E274" s="320">
        <v>80.099999999999994</v>
      </c>
      <c r="F274" s="320">
        <v>97.2</v>
      </c>
      <c r="G274" s="258">
        <v>118</v>
      </c>
      <c r="H274" s="258">
        <v>139</v>
      </c>
      <c r="I274" s="258">
        <v>161</v>
      </c>
      <c r="J274" s="258">
        <v>229</v>
      </c>
      <c r="K274" s="258">
        <v>289</v>
      </c>
      <c r="L274" s="258">
        <v>317</v>
      </c>
      <c r="M274" s="258">
        <v>384</v>
      </c>
      <c r="N274" s="258">
        <v>444</v>
      </c>
      <c r="O274" s="258">
        <v>478</v>
      </c>
      <c r="P274" s="258">
        <v>602</v>
      </c>
      <c r="Q274" s="258">
        <v>640</v>
      </c>
      <c r="R274" s="258">
        <v>743</v>
      </c>
      <c r="S274" s="258">
        <v>781</v>
      </c>
      <c r="T274" s="258">
        <v>875</v>
      </c>
      <c r="U274" s="310">
        <v>912</v>
      </c>
    </row>
    <row r="275" spans="1:21" ht="9.3000000000000007" customHeight="1">
      <c r="A275" s="1"/>
      <c r="B275" s="296" t="s">
        <v>5</v>
      </c>
      <c r="C275" s="319">
        <v>43.8</v>
      </c>
      <c r="D275" s="320">
        <v>73.599999999999994</v>
      </c>
      <c r="E275" s="320">
        <v>90.1</v>
      </c>
      <c r="F275" s="258">
        <v>121</v>
      </c>
      <c r="G275" s="258">
        <v>147</v>
      </c>
      <c r="H275" s="258">
        <v>184</v>
      </c>
      <c r="I275" s="258">
        <v>228</v>
      </c>
      <c r="J275" s="258">
        <v>267</v>
      </c>
      <c r="K275" s="258">
        <v>339</v>
      </c>
      <c r="L275" s="258">
        <v>336</v>
      </c>
      <c r="M275" s="258">
        <v>393</v>
      </c>
      <c r="N275" s="258">
        <v>423</v>
      </c>
      <c r="O275" s="258">
        <v>445</v>
      </c>
      <c r="P275" s="258">
        <v>478</v>
      </c>
      <c r="Q275" s="258">
        <v>502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1"/>
      <c r="B276" s="296" t="s">
        <v>7</v>
      </c>
      <c r="C276" s="321">
        <v>61.5</v>
      </c>
      <c r="D276" s="259">
        <v>101</v>
      </c>
      <c r="E276" s="259">
        <v>123</v>
      </c>
      <c r="F276" s="259">
        <v>161</v>
      </c>
      <c r="G276" s="259">
        <v>195</v>
      </c>
      <c r="H276" s="259">
        <v>242</v>
      </c>
      <c r="I276" s="259">
        <v>295</v>
      </c>
      <c r="J276" s="259">
        <v>376</v>
      </c>
      <c r="K276" s="259">
        <v>476</v>
      </c>
      <c r="L276" s="259">
        <v>487</v>
      </c>
      <c r="M276" s="259">
        <v>575</v>
      </c>
      <c r="N276" s="259">
        <v>634</v>
      </c>
      <c r="O276" s="259">
        <v>673</v>
      </c>
      <c r="P276" s="259">
        <v>794</v>
      </c>
      <c r="Q276" s="259">
        <v>837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58">
        <v>71</v>
      </c>
      <c r="B277" s="329" t="s">
        <v>2</v>
      </c>
      <c r="C277" s="318">
        <v>23.2</v>
      </c>
      <c r="D277" s="262">
        <v>33.4</v>
      </c>
      <c r="E277" s="262">
        <v>40.1</v>
      </c>
      <c r="F277" s="262">
        <v>49.7</v>
      </c>
      <c r="G277" s="262">
        <v>59.6</v>
      </c>
      <c r="H277" s="262">
        <v>67.3</v>
      </c>
      <c r="I277" s="262">
        <v>77.900000000000006</v>
      </c>
      <c r="J277" s="262">
        <v>98.9</v>
      </c>
      <c r="K277" s="237">
        <v>125</v>
      </c>
      <c r="L277" s="237">
        <v>140</v>
      </c>
      <c r="M277" s="237">
        <v>169</v>
      </c>
      <c r="N277" s="237">
        <v>203</v>
      </c>
      <c r="O277" s="237">
        <v>222</v>
      </c>
      <c r="P277" s="237">
        <v>251</v>
      </c>
      <c r="Q277" s="237">
        <v>273</v>
      </c>
      <c r="R277" s="237">
        <v>295</v>
      </c>
      <c r="S277" s="237">
        <v>323</v>
      </c>
      <c r="T277" s="237">
        <v>366</v>
      </c>
      <c r="U277" s="316">
        <v>395</v>
      </c>
    </row>
    <row r="278" spans="1:21" ht="9" customHeight="1">
      <c r="A278" s="1"/>
      <c r="B278" s="296" t="s">
        <v>3</v>
      </c>
      <c r="C278" s="319">
        <v>40.200000000000003</v>
      </c>
      <c r="D278" s="320">
        <v>60.9</v>
      </c>
      <c r="E278" s="320">
        <v>73</v>
      </c>
      <c r="F278" s="320">
        <v>90.6</v>
      </c>
      <c r="G278" s="258">
        <v>108</v>
      </c>
      <c r="H278" s="258">
        <v>127</v>
      </c>
      <c r="I278" s="258">
        <v>147</v>
      </c>
      <c r="J278" s="258">
        <v>209</v>
      </c>
      <c r="K278" s="258">
        <v>263</v>
      </c>
      <c r="L278" s="258">
        <v>291</v>
      </c>
      <c r="M278" s="258">
        <v>351</v>
      </c>
      <c r="N278" s="258">
        <v>417</v>
      </c>
      <c r="O278" s="258">
        <v>457</v>
      </c>
      <c r="P278" s="258">
        <v>566</v>
      </c>
      <c r="Q278" s="258">
        <v>613</v>
      </c>
      <c r="R278" s="258">
        <v>701</v>
      </c>
      <c r="S278" s="258">
        <v>758</v>
      </c>
      <c r="T278" s="258">
        <v>826</v>
      </c>
      <c r="U278" s="310">
        <v>886</v>
      </c>
    </row>
    <row r="279" spans="1:21" ht="9.3000000000000007" customHeight="1">
      <c r="A279" s="1"/>
      <c r="B279" s="296" t="s">
        <v>5</v>
      </c>
      <c r="C279" s="319">
        <v>39.1</v>
      </c>
      <c r="D279" s="320">
        <v>67.099999999999994</v>
      </c>
      <c r="E279" s="258">
        <v>81</v>
      </c>
      <c r="F279" s="258">
        <v>110</v>
      </c>
      <c r="G279" s="258">
        <v>132</v>
      </c>
      <c r="H279" s="258">
        <v>164</v>
      </c>
      <c r="I279" s="258">
        <v>202</v>
      </c>
      <c r="J279" s="258">
        <v>237</v>
      </c>
      <c r="K279" s="258">
        <v>312</v>
      </c>
      <c r="L279" s="258">
        <v>313</v>
      </c>
      <c r="M279" s="258">
        <v>362</v>
      </c>
      <c r="N279" s="258">
        <v>401</v>
      </c>
      <c r="O279" s="258">
        <v>430</v>
      </c>
      <c r="P279" s="258">
        <v>456</v>
      </c>
      <c r="Q279" s="258">
        <v>485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1"/>
      <c r="B280" s="296" t="s">
        <v>7</v>
      </c>
      <c r="C280" s="321">
        <v>55.1</v>
      </c>
      <c r="D280" s="322">
        <v>92.3</v>
      </c>
      <c r="E280" s="259">
        <v>111</v>
      </c>
      <c r="F280" s="259">
        <v>147</v>
      </c>
      <c r="G280" s="259">
        <v>175</v>
      </c>
      <c r="H280" s="259">
        <v>218</v>
      </c>
      <c r="I280" s="259">
        <v>263</v>
      </c>
      <c r="J280" s="259">
        <v>336</v>
      </c>
      <c r="K280" s="259">
        <v>435</v>
      </c>
      <c r="L280" s="259">
        <v>450</v>
      </c>
      <c r="M280" s="259">
        <v>528</v>
      </c>
      <c r="N280" s="259">
        <v>597</v>
      </c>
      <c r="O280" s="259">
        <v>646</v>
      </c>
      <c r="P280" s="259">
        <v>749</v>
      </c>
      <c r="Q280" s="259">
        <v>804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58">
        <v>80</v>
      </c>
      <c r="B281" s="329" t="s">
        <v>2</v>
      </c>
      <c r="C281" s="153" t="s">
        <v>1</v>
      </c>
      <c r="D281" s="85" t="s">
        <v>1</v>
      </c>
      <c r="E281" s="262">
        <v>38.299999999999997</v>
      </c>
      <c r="F281" s="85" t="s">
        <v>1</v>
      </c>
      <c r="G281" s="262">
        <v>57.2</v>
      </c>
      <c r="H281" s="85" t="s">
        <v>1</v>
      </c>
      <c r="I281" s="262">
        <v>74.599999999999994</v>
      </c>
      <c r="J281" s="85" t="s">
        <v>1</v>
      </c>
      <c r="K281" s="237">
        <v>120</v>
      </c>
      <c r="L281" s="85" t="s">
        <v>1</v>
      </c>
      <c r="M281" s="237">
        <v>162</v>
      </c>
      <c r="N281" s="85" t="s">
        <v>1</v>
      </c>
      <c r="O281" s="237">
        <v>211</v>
      </c>
      <c r="P281" s="85" t="s">
        <v>1</v>
      </c>
      <c r="Q281" s="237">
        <v>260</v>
      </c>
      <c r="R281" s="85" t="s">
        <v>1</v>
      </c>
      <c r="S281" s="237">
        <v>311</v>
      </c>
      <c r="T281" s="85" t="s">
        <v>1</v>
      </c>
      <c r="U281" s="316">
        <v>379</v>
      </c>
    </row>
    <row r="282" spans="1:21" ht="9" customHeight="1">
      <c r="A282" s="1"/>
      <c r="B282" s="296" t="s">
        <v>3</v>
      </c>
      <c r="C282" s="154" t="s">
        <v>1</v>
      </c>
      <c r="D282" s="146" t="s">
        <v>1</v>
      </c>
      <c r="E282" s="320">
        <v>69.3</v>
      </c>
      <c r="F282" s="146" t="s">
        <v>1</v>
      </c>
      <c r="G282" s="258">
        <v>103</v>
      </c>
      <c r="H282" s="146" t="s">
        <v>1</v>
      </c>
      <c r="I282" s="258">
        <v>140</v>
      </c>
      <c r="J282" s="146" t="s">
        <v>1</v>
      </c>
      <c r="K282" s="258">
        <v>249</v>
      </c>
      <c r="L282" s="146" t="s">
        <v>1</v>
      </c>
      <c r="M282" s="258">
        <v>334</v>
      </c>
      <c r="N282" s="146" t="s">
        <v>1</v>
      </c>
      <c r="O282" s="258">
        <v>428</v>
      </c>
      <c r="P282" s="146" t="s">
        <v>1</v>
      </c>
      <c r="Q282" s="258">
        <v>577</v>
      </c>
      <c r="R282" s="146" t="s">
        <v>1</v>
      </c>
      <c r="S282" s="258">
        <v>715</v>
      </c>
      <c r="T282" s="146" t="s">
        <v>1</v>
      </c>
      <c r="U282" s="310">
        <v>835</v>
      </c>
    </row>
    <row r="283" spans="1:21" ht="9.3000000000000007" customHeight="1">
      <c r="A283" s="1"/>
      <c r="B283" s="296" t="s">
        <v>5</v>
      </c>
      <c r="C283" s="154" t="s">
        <v>1</v>
      </c>
      <c r="D283" s="146" t="s">
        <v>1</v>
      </c>
      <c r="E283" s="320">
        <v>75.3</v>
      </c>
      <c r="F283" s="146" t="s">
        <v>1</v>
      </c>
      <c r="G283" s="258">
        <v>124</v>
      </c>
      <c r="H283" s="146" t="s">
        <v>1</v>
      </c>
      <c r="I283" s="258">
        <v>188</v>
      </c>
      <c r="J283" s="146" t="s">
        <v>1</v>
      </c>
      <c r="K283" s="258">
        <v>300</v>
      </c>
      <c r="L283" s="146" t="s">
        <v>1</v>
      </c>
      <c r="M283" s="258">
        <v>348</v>
      </c>
      <c r="N283" s="146" t="s">
        <v>1</v>
      </c>
      <c r="O283" s="258">
        <v>408</v>
      </c>
      <c r="P283" s="146" t="s">
        <v>1</v>
      </c>
      <c r="Q283" s="258">
        <v>463</v>
      </c>
      <c r="R283" s="146" t="s">
        <v>1</v>
      </c>
      <c r="S283" s="146" t="s">
        <v>21</v>
      </c>
      <c r="T283" s="146" t="s">
        <v>1</v>
      </c>
      <c r="U283" s="223" t="s">
        <v>21</v>
      </c>
    </row>
    <row r="284" spans="1:21" ht="10.8" customHeight="1">
      <c r="A284" s="1"/>
      <c r="B284" s="296" t="s">
        <v>7</v>
      </c>
      <c r="C284" s="155" t="s">
        <v>1</v>
      </c>
      <c r="D284" s="149" t="s">
        <v>1</v>
      </c>
      <c r="E284" s="259">
        <v>104</v>
      </c>
      <c r="F284" s="149" t="s">
        <v>1</v>
      </c>
      <c r="G284" s="259">
        <v>165</v>
      </c>
      <c r="H284" s="149" t="s">
        <v>1</v>
      </c>
      <c r="I284" s="259">
        <v>246</v>
      </c>
      <c r="J284" s="149" t="s">
        <v>1</v>
      </c>
      <c r="K284" s="259">
        <v>415</v>
      </c>
      <c r="L284" s="149" t="s">
        <v>1</v>
      </c>
      <c r="M284" s="259">
        <v>504</v>
      </c>
      <c r="N284" s="149" t="s">
        <v>1</v>
      </c>
      <c r="O284" s="259">
        <v>608</v>
      </c>
      <c r="P284" s="149" t="s">
        <v>1</v>
      </c>
      <c r="Q284" s="259">
        <v>758</v>
      </c>
      <c r="R284" s="149" t="s">
        <v>1</v>
      </c>
      <c r="S284" s="149" t="s">
        <v>21</v>
      </c>
      <c r="T284" s="149" t="s">
        <v>1</v>
      </c>
      <c r="U284" s="225" t="s">
        <v>21</v>
      </c>
    </row>
    <row r="285" spans="1:21" ht="10.5" customHeight="1">
      <c r="A285" s="58">
        <v>90</v>
      </c>
      <c r="B285" s="329" t="s">
        <v>2</v>
      </c>
      <c r="C285" s="153" t="s">
        <v>1</v>
      </c>
      <c r="D285" s="85" t="s">
        <v>1</v>
      </c>
      <c r="E285" s="262">
        <v>36</v>
      </c>
      <c r="F285" s="85" t="s">
        <v>1</v>
      </c>
      <c r="G285" s="262">
        <v>53.8</v>
      </c>
      <c r="H285" s="85" t="s">
        <v>1</v>
      </c>
      <c r="I285" s="262">
        <v>69.099999999999994</v>
      </c>
      <c r="J285" s="85" t="s">
        <v>1</v>
      </c>
      <c r="K285" s="237">
        <v>111</v>
      </c>
      <c r="L285" s="85" t="s">
        <v>1</v>
      </c>
      <c r="M285" s="237">
        <v>151</v>
      </c>
      <c r="N285" s="85" t="s">
        <v>1</v>
      </c>
      <c r="O285" s="85" t="s">
        <v>1</v>
      </c>
      <c r="P285" s="85" t="s">
        <v>1</v>
      </c>
      <c r="Q285" s="85" t="s">
        <v>1</v>
      </c>
      <c r="R285" s="85" t="s">
        <v>1</v>
      </c>
      <c r="S285" s="85" t="s">
        <v>1</v>
      </c>
      <c r="T285" s="85" t="s">
        <v>1</v>
      </c>
      <c r="U285" s="221" t="s">
        <v>1</v>
      </c>
    </row>
    <row r="286" spans="1:21" ht="9" customHeight="1">
      <c r="A286" s="1"/>
      <c r="B286" s="296" t="s">
        <v>3</v>
      </c>
      <c r="C286" s="154" t="s">
        <v>1</v>
      </c>
      <c r="D286" s="146" t="s">
        <v>1</v>
      </c>
      <c r="E286" s="320">
        <v>64.5</v>
      </c>
      <c r="F286" s="146" t="s">
        <v>1</v>
      </c>
      <c r="G286" s="320">
        <v>95.7</v>
      </c>
      <c r="H286" s="146" t="s">
        <v>1</v>
      </c>
      <c r="I286" s="258">
        <v>128</v>
      </c>
      <c r="J286" s="146" t="s">
        <v>1</v>
      </c>
      <c r="K286" s="258">
        <v>227</v>
      </c>
      <c r="L286" s="146" t="s">
        <v>1</v>
      </c>
      <c r="M286" s="258">
        <v>306</v>
      </c>
      <c r="N286" s="146" t="s">
        <v>1</v>
      </c>
      <c r="O286" s="146" t="s">
        <v>1</v>
      </c>
      <c r="P286" s="146" t="s">
        <v>1</v>
      </c>
      <c r="Q286" s="146" t="s">
        <v>1</v>
      </c>
      <c r="R286" s="146" t="s">
        <v>1</v>
      </c>
      <c r="S286" s="146" t="s">
        <v>1</v>
      </c>
      <c r="T286" s="146" t="s">
        <v>1</v>
      </c>
      <c r="U286" s="223" t="s">
        <v>1</v>
      </c>
    </row>
    <row r="287" spans="1:21" ht="9.3000000000000007" customHeight="1">
      <c r="A287" s="1"/>
      <c r="B287" s="296" t="s">
        <v>5</v>
      </c>
      <c r="C287" s="154" t="s">
        <v>1</v>
      </c>
      <c r="D287" s="146" t="s">
        <v>1</v>
      </c>
      <c r="E287" s="320">
        <v>68.7</v>
      </c>
      <c r="F287" s="146" t="s">
        <v>1</v>
      </c>
      <c r="G287" s="258">
        <v>113</v>
      </c>
      <c r="H287" s="146" t="s">
        <v>1</v>
      </c>
      <c r="I287" s="258">
        <v>168</v>
      </c>
      <c r="J287" s="146" t="s">
        <v>1</v>
      </c>
      <c r="K287" s="258">
        <v>277</v>
      </c>
      <c r="L287" s="146" t="s">
        <v>1</v>
      </c>
      <c r="M287" s="258">
        <v>325</v>
      </c>
      <c r="N287" s="146" t="s">
        <v>1</v>
      </c>
      <c r="O287" s="146" t="s">
        <v>1</v>
      </c>
      <c r="P287" s="146" t="s">
        <v>1</v>
      </c>
      <c r="Q287" s="146" t="s">
        <v>1</v>
      </c>
      <c r="R287" s="146" t="s">
        <v>1</v>
      </c>
      <c r="S287" s="146" t="s">
        <v>1</v>
      </c>
      <c r="T287" s="146" t="s">
        <v>1</v>
      </c>
      <c r="U287" s="223" t="s">
        <v>1</v>
      </c>
    </row>
    <row r="288" spans="1:21" ht="10.8" customHeight="1">
      <c r="A288" s="392"/>
      <c r="B288" s="387" t="s">
        <v>7</v>
      </c>
      <c r="C288" s="378" t="s">
        <v>1</v>
      </c>
      <c r="D288" s="379" t="s">
        <v>1</v>
      </c>
      <c r="E288" s="397">
        <v>95</v>
      </c>
      <c r="F288" s="379" t="s">
        <v>1</v>
      </c>
      <c r="G288" s="371">
        <v>151</v>
      </c>
      <c r="H288" s="379" t="s">
        <v>1</v>
      </c>
      <c r="I288" s="371">
        <v>221</v>
      </c>
      <c r="J288" s="379" t="s">
        <v>1</v>
      </c>
      <c r="K288" s="371">
        <v>381</v>
      </c>
      <c r="L288" s="379" t="s">
        <v>1</v>
      </c>
      <c r="M288" s="371">
        <v>466</v>
      </c>
      <c r="N288" s="379" t="s">
        <v>1</v>
      </c>
      <c r="O288" s="379" t="s">
        <v>1</v>
      </c>
      <c r="P288" s="379" t="s">
        <v>1</v>
      </c>
      <c r="Q288" s="379" t="s">
        <v>1</v>
      </c>
      <c r="R288" s="379" t="s">
        <v>1</v>
      </c>
      <c r="S288" s="379" t="s">
        <v>1</v>
      </c>
      <c r="T288" s="379" t="s">
        <v>1</v>
      </c>
      <c r="U288" s="380" t="s">
        <v>1</v>
      </c>
    </row>
    <row r="294" spans="1:23" ht="44.55" customHeight="1">
      <c r="A294" s="449" t="s">
        <v>466</v>
      </c>
      <c r="B294" s="449"/>
      <c r="C294" s="449"/>
      <c r="D294" s="449"/>
      <c r="E294" s="449"/>
      <c r="F294" s="449"/>
      <c r="G294" s="449"/>
      <c r="H294" s="449"/>
      <c r="I294" s="449"/>
      <c r="J294" s="449"/>
      <c r="K294" s="449"/>
      <c r="L294" s="449"/>
      <c r="M294" s="449"/>
      <c r="N294" s="449"/>
      <c r="O294" s="449"/>
      <c r="P294" s="449"/>
      <c r="Q294" s="449"/>
      <c r="R294" s="449"/>
      <c r="S294" s="449"/>
      <c r="T294" s="449"/>
      <c r="U294" s="449"/>
      <c r="V294" s="449"/>
      <c r="W294" s="449"/>
    </row>
    <row r="295" spans="1:23" ht="12.3" customHeight="1">
      <c r="A295" s="488" t="s">
        <v>69</v>
      </c>
      <c r="B295" s="488"/>
      <c r="C295" s="487" t="s">
        <v>14</v>
      </c>
      <c r="D295" s="487"/>
      <c r="E295" s="487"/>
      <c r="F295" s="487"/>
      <c r="G295" s="487"/>
      <c r="H295" s="487"/>
      <c r="I295" s="487"/>
      <c r="J295" s="487"/>
      <c r="K295" s="487"/>
      <c r="L295" s="487"/>
      <c r="M295" s="487"/>
      <c r="N295" s="487"/>
      <c r="O295" s="487"/>
      <c r="P295" s="487"/>
      <c r="Q295" s="487"/>
      <c r="R295" s="487"/>
      <c r="S295" s="487"/>
      <c r="T295" s="487"/>
      <c r="U295" s="487"/>
    </row>
    <row r="296" spans="1:23" ht="9" customHeight="1">
      <c r="A296" s="489"/>
      <c r="B296" s="489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64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3" ht="10.5" customHeight="1">
      <c r="A297" s="58" t="s">
        <v>554</v>
      </c>
      <c r="B297" s="329" t="s">
        <v>2</v>
      </c>
      <c r="C297" s="318">
        <v>47.9</v>
      </c>
      <c r="D297" s="262">
        <v>62.8</v>
      </c>
      <c r="E297" s="85" t="s">
        <v>1</v>
      </c>
      <c r="F297" s="262">
        <v>91.6</v>
      </c>
      <c r="G297" s="85" t="s">
        <v>1</v>
      </c>
      <c r="H297" s="237">
        <v>113</v>
      </c>
      <c r="I297" s="85" t="s">
        <v>1</v>
      </c>
      <c r="J297" s="237">
        <v>135</v>
      </c>
      <c r="K297" s="85" t="s">
        <v>1</v>
      </c>
      <c r="L297" s="237">
        <v>146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3" ht="9" customHeight="1">
      <c r="A298" s="1"/>
      <c r="B298" s="296" t="s">
        <v>3</v>
      </c>
      <c r="C298" s="304">
        <v>105</v>
      </c>
      <c r="D298" s="258">
        <v>149</v>
      </c>
      <c r="E298" s="146" t="s">
        <v>1</v>
      </c>
      <c r="F298" s="258">
        <v>227</v>
      </c>
      <c r="G298" s="146" t="s">
        <v>1</v>
      </c>
      <c r="H298" s="258">
        <v>308</v>
      </c>
      <c r="I298" s="146" t="s">
        <v>1</v>
      </c>
      <c r="J298" s="258">
        <v>494</v>
      </c>
      <c r="K298" s="146" t="s">
        <v>1</v>
      </c>
      <c r="L298" s="258">
        <v>630</v>
      </c>
      <c r="M298" s="146" t="s">
        <v>1</v>
      </c>
      <c r="N298" s="258">
        <v>742</v>
      </c>
      <c r="O298" s="146" t="s">
        <v>1</v>
      </c>
      <c r="P298" s="258">
        <v>890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3" ht="9.3000000000000007" customHeight="1">
      <c r="A299" s="1"/>
      <c r="B299" s="296" t="s">
        <v>5</v>
      </c>
      <c r="C299" s="304">
        <v>117</v>
      </c>
      <c r="D299" s="258">
        <v>196</v>
      </c>
      <c r="E299" s="146" t="s">
        <v>1</v>
      </c>
      <c r="F299" s="258">
        <v>265</v>
      </c>
      <c r="G299" s="146" t="s">
        <v>1</v>
      </c>
      <c r="H299" s="258">
        <v>443</v>
      </c>
      <c r="I299" s="146" t="s">
        <v>1</v>
      </c>
      <c r="J299" s="258">
        <v>512</v>
      </c>
      <c r="K299" s="146" t="s">
        <v>1</v>
      </c>
      <c r="L299" s="258">
        <v>550</v>
      </c>
      <c r="M299" s="146" t="s">
        <v>1</v>
      </c>
      <c r="N299" s="258">
        <v>531</v>
      </c>
      <c r="O299" s="146" t="s">
        <v>1</v>
      </c>
      <c r="P299" s="258">
        <v>394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3" ht="10.8" customHeight="1">
      <c r="A300" s="45"/>
      <c r="B300" s="297" t="s">
        <v>7</v>
      </c>
      <c r="C300" s="307">
        <v>169</v>
      </c>
      <c r="D300" s="259">
        <v>272</v>
      </c>
      <c r="E300" s="149" t="s">
        <v>1</v>
      </c>
      <c r="F300" s="259">
        <v>386</v>
      </c>
      <c r="G300" s="149" t="s">
        <v>1</v>
      </c>
      <c r="H300" s="259">
        <v>610</v>
      </c>
      <c r="I300" s="149" t="s">
        <v>1</v>
      </c>
      <c r="J300" s="259">
        <v>829</v>
      </c>
      <c r="K300" s="149" t="s">
        <v>1</v>
      </c>
      <c r="L300" s="259">
        <v>972</v>
      </c>
      <c r="M300" s="149" t="s">
        <v>1</v>
      </c>
      <c r="N300" s="259">
        <v>1135</v>
      </c>
      <c r="O300" s="149" t="s">
        <v>1</v>
      </c>
      <c r="P300" s="259">
        <v>1300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3" ht="10.5" customHeight="1">
      <c r="A301" s="58">
        <v>14</v>
      </c>
      <c r="B301" s="329" t="s">
        <v>2</v>
      </c>
      <c r="C301" s="318">
        <v>46.6</v>
      </c>
      <c r="D301" s="262">
        <v>61</v>
      </c>
      <c r="E301" s="85" t="s">
        <v>1</v>
      </c>
      <c r="F301" s="262">
        <v>89.2</v>
      </c>
      <c r="G301" s="85" t="s">
        <v>1</v>
      </c>
      <c r="H301" s="237">
        <v>111</v>
      </c>
      <c r="I301" s="85" t="s">
        <v>1</v>
      </c>
      <c r="J301" s="237">
        <v>133</v>
      </c>
      <c r="K301" s="85" t="s">
        <v>1</v>
      </c>
      <c r="L301" s="237">
        <v>149</v>
      </c>
      <c r="M301" s="85" t="s">
        <v>1</v>
      </c>
      <c r="N301" s="85" t="s">
        <v>21</v>
      </c>
      <c r="O301" s="85" t="s">
        <v>21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3" ht="9" customHeight="1">
      <c r="A302" s="1"/>
      <c r="B302" s="296" t="s">
        <v>3</v>
      </c>
      <c r="C302" s="304">
        <v>102</v>
      </c>
      <c r="D302" s="258">
        <v>145</v>
      </c>
      <c r="E302" s="146" t="s">
        <v>1</v>
      </c>
      <c r="F302" s="258">
        <v>220</v>
      </c>
      <c r="G302" s="146" t="s">
        <v>1</v>
      </c>
      <c r="H302" s="258">
        <v>301</v>
      </c>
      <c r="I302" s="146" t="s">
        <v>1</v>
      </c>
      <c r="J302" s="258">
        <v>483</v>
      </c>
      <c r="K302" s="146" t="s">
        <v>1</v>
      </c>
      <c r="L302" s="258">
        <v>633</v>
      </c>
      <c r="M302" s="146" t="s">
        <v>1</v>
      </c>
      <c r="N302" s="258">
        <v>728</v>
      </c>
      <c r="O302" s="258">
        <v>775</v>
      </c>
      <c r="P302" s="258">
        <v>859</v>
      </c>
      <c r="Q302" s="258">
        <v>955</v>
      </c>
      <c r="R302" s="258">
        <v>814</v>
      </c>
      <c r="S302" s="258">
        <v>911</v>
      </c>
      <c r="T302" s="146" t="s">
        <v>21</v>
      </c>
      <c r="U302" s="223" t="s">
        <v>21</v>
      </c>
    </row>
    <row r="303" spans="1:23" ht="9.3000000000000007" customHeight="1">
      <c r="A303" s="1"/>
      <c r="B303" s="296" t="s">
        <v>5</v>
      </c>
      <c r="C303" s="304">
        <v>113</v>
      </c>
      <c r="D303" s="258">
        <v>190</v>
      </c>
      <c r="E303" s="146" t="s">
        <v>1</v>
      </c>
      <c r="F303" s="258">
        <v>257</v>
      </c>
      <c r="G303" s="146" t="s">
        <v>1</v>
      </c>
      <c r="H303" s="258">
        <v>432</v>
      </c>
      <c r="I303" s="146" t="s">
        <v>1</v>
      </c>
      <c r="J303" s="258">
        <v>501</v>
      </c>
      <c r="K303" s="146" t="s">
        <v>1</v>
      </c>
      <c r="L303" s="258">
        <v>553</v>
      </c>
      <c r="M303" s="146" t="s">
        <v>1</v>
      </c>
      <c r="N303" s="258">
        <v>524</v>
      </c>
      <c r="O303" s="258">
        <v>549</v>
      </c>
      <c r="P303" s="258">
        <v>386</v>
      </c>
      <c r="Q303" s="258">
        <v>430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3" ht="10.8" customHeight="1">
      <c r="A304" s="45"/>
      <c r="B304" s="297" t="s">
        <v>7</v>
      </c>
      <c r="C304" s="307">
        <v>163</v>
      </c>
      <c r="D304" s="259">
        <v>263</v>
      </c>
      <c r="E304" s="149" t="s">
        <v>1</v>
      </c>
      <c r="F304" s="259">
        <v>373</v>
      </c>
      <c r="G304" s="149" t="s">
        <v>1</v>
      </c>
      <c r="H304" s="259">
        <v>595</v>
      </c>
      <c r="I304" s="149" t="s">
        <v>1</v>
      </c>
      <c r="J304" s="259">
        <v>808</v>
      </c>
      <c r="K304" s="149" t="s">
        <v>1</v>
      </c>
      <c r="L304" s="259">
        <v>976</v>
      </c>
      <c r="M304" s="149" t="s">
        <v>1</v>
      </c>
      <c r="N304" s="259">
        <v>1109</v>
      </c>
      <c r="O304" s="259">
        <v>1169</v>
      </c>
      <c r="P304" s="259">
        <v>1249</v>
      </c>
      <c r="Q304" s="259">
        <v>1375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58">
        <v>16</v>
      </c>
      <c r="B305" s="329" t="s">
        <v>2</v>
      </c>
      <c r="C305" s="318">
        <v>45.3</v>
      </c>
      <c r="D305" s="262">
        <v>60.4</v>
      </c>
      <c r="E305" s="262">
        <v>69.099999999999994</v>
      </c>
      <c r="F305" s="262">
        <v>87.1</v>
      </c>
      <c r="G305" s="237">
        <v>102</v>
      </c>
      <c r="H305" s="237">
        <v>111</v>
      </c>
      <c r="I305" s="237">
        <v>125</v>
      </c>
      <c r="J305" s="237">
        <v>143</v>
      </c>
      <c r="K305" s="237">
        <v>161</v>
      </c>
      <c r="L305" s="237">
        <v>176</v>
      </c>
      <c r="M305" s="237">
        <v>175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1"/>
      <c r="B306" s="296" t="s">
        <v>3</v>
      </c>
      <c r="C306" s="319">
        <v>98.3</v>
      </c>
      <c r="D306" s="258">
        <v>141</v>
      </c>
      <c r="E306" s="258">
        <v>158</v>
      </c>
      <c r="F306" s="258">
        <v>210</v>
      </c>
      <c r="G306" s="258">
        <v>239</v>
      </c>
      <c r="H306" s="258">
        <v>294</v>
      </c>
      <c r="I306" s="258">
        <v>323</v>
      </c>
      <c r="J306" s="258">
        <v>472</v>
      </c>
      <c r="K306" s="258">
        <v>533</v>
      </c>
      <c r="L306" s="258">
        <v>610</v>
      </c>
      <c r="M306" s="258">
        <v>671</v>
      </c>
      <c r="N306" s="258">
        <v>761</v>
      </c>
      <c r="O306" s="258">
        <v>758</v>
      </c>
      <c r="P306" s="258">
        <v>932</v>
      </c>
      <c r="Q306" s="258">
        <v>888</v>
      </c>
      <c r="R306" s="258">
        <v>880</v>
      </c>
      <c r="S306" s="258">
        <v>886</v>
      </c>
      <c r="T306" s="258">
        <v>965</v>
      </c>
      <c r="U306" s="310">
        <v>876</v>
      </c>
    </row>
    <row r="307" spans="1:21" ht="9.3000000000000007" customHeight="1">
      <c r="A307" s="1"/>
      <c r="B307" s="296" t="s">
        <v>5</v>
      </c>
      <c r="C307" s="304">
        <v>109</v>
      </c>
      <c r="D307" s="258">
        <v>185</v>
      </c>
      <c r="E307" s="258">
        <v>199</v>
      </c>
      <c r="F307" s="258">
        <v>245</v>
      </c>
      <c r="G307" s="258">
        <v>272</v>
      </c>
      <c r="H307" s="258">
        <v>420</v>
      </c>
      <c r="I307" s="258">
        <v>452</v>
      </c>
      <c r="J307" s="258">
        <v>490</v>
      </c>
      <c r="K307" s="258">
        <v>537</v>
      </c>
      <c r="L307" s="258">
        <v>536</v>
      </c>
      <c r="M307" s="258">
        <v>580</v>
      </c>
      <c r="N307" s="258">
        <v>570</v>
      </c>
      <c r="O307" s="258">
        <v>539</v>
      </c>
      <c r="P307" s="258">
        <v>483</v>
      </c>
      <c r="Q307" s="258">
        <v>408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45"/>
      <c r="B308" s="297" t="s">
        <v>7</v>
      </c>
      <c r="C308" s="307">
        <v>157</v>
      </c>
      <c r="D308" s="259">
        <v>255</v>
      </c>
      <c r="E308" s="259">
        <v>278</v>
      </c>
      <c r="F308" s="259">
        <v>355</v>
      </c>
      <c r="G308" s="259">
        <v>395</v>
      </c>
      <c r="H308" s="259">
        <v>577</v>
      </c>
      <c r="I308" s="259">
        <v>624</v>
      </c>
      <c r="J308" s="259">
        <v>781</v>
      </c>
      <c r="K308" s="259">
        <v>867</v>
      </c>
      <c r="L308" s="259">
        <v>923</v>
      </c>
      <c r="M308" s="259">
        <v>1017</v>
      </c>
      <c r="N308" s="259">
        <v>1125</v>
      </c>
      <c r="O308" s="259">
        <v>1138</v>
      </c>
      <c r="P308" s="259">
        <v>1301</v>
      </c>
      <c r="Q308" s="259">
        <v>1274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58">
        <v>18</v>
      </c>
      <c r="B309" s="329" t="s">
        <v>2</v>
      </c>
      <c r="C309" s="318">
        <v>44</v>
      </c>
      <c r="D309" s="262">
        <v>58.7</v>
      </c>
      <c r="E309" s="262">
        <v>67.2</v>
      </c>
      <c r="F309" s="262">
        <v>84.5</v>
      </c>
      <c r="G309" s="262">
        <v>99.8</v>
      </c>
      <c r="H309" s="237">
        <v>109</v>
      </c>
      <c r="I309" s="237">
        <v>117</v>
      </c>
      <c r="J309" s="237">
        <v>140</v>
      </c>
      <c r="K309" s="237">
        <v>162</v>
      </c>
      <c r="L309" s="237">
        <v>178</v>
      </c>
      <c r="M309" s="237">
        <v>177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1"/>
      <c r="B310" s="296" t="s">
        <v>3</v>
      </c>
      <c r="C310" s="319">
        <v>95.2</v>
      </c>
      <c r="D310" s="258">
        <v>137</v>
      </c>
      <c r="E310" s="258">
        <v>154</v>
      </c>
      <c r="F310" s="258">
        <v>203</v>
      </c>
      <c r="G310" s="258">
        <v>233</v>
      </c>
      <c r="H310" s="258">
        <v>286</v>
      </c>
      <c r="I310" s="258">
        <v>302</v>
      </c>
      <c r="J310" s="258">
        <v>462</v>
      </c>
      <c r="K310" s="258">
        <v>533</v>
      </c>
      <c r="L310" s="258">
        <v>612</v>
      </c>
      <c r="M310" s="258">
        <v>674</v>
      </c>
      <c r="N310" s="258">
        <v>744</v>
      </c>
      <c r="O310" s="258">
        <v>793</v>
      </c>
      <c r="P310" s="258">
        <v>896</v>
      </c>
      <c r="Q310" s="258">
        <v>995</v>
      </c>
      <c r="R310" s="258">
        <v>870</v>
      </c>
      <c r="S310" s="258">
        <v>965</v>
      </c>
      <c r="T310" s="258">
        <v>968</v>
      </c>
      <c r="U310" s="310">
        <v>1033</v>
      </c>
    </row>
    <row r="311" spans="1:21" ht="9.3000000000000007" customHeight="1">
      <c r="A311" s="1"/>
      <c r="B311" s="296" t="s">
        <v>5</v>
      </c>
      <c r="C311" s="304">
        <v>105</v>
      </c>
      <c r="D311" s="258">
        <v>179</v>
      </c>
      <c r="E311" s="258">
        <v>193</v>
      </c>
      <c r="F311" s="258">
        <v>237</v>
      </c>
      <c r="G311" s="258">
        <v>265</v>
      </c>
      <c r="H311" s="258">
        <v>409</v>
      </c>
      <c r="I311" s="258">
        <v>423</v>
      </c>
      <c r="J311" s="258">
        <v>478</v>
      </c>
      <c r="K311" s="258">
        <v>536</v>
      </c>
      <c r="L311" s="258">
        <v>538</v>
      </c>
      <c r="M311" s="258">
        <v>583</v>
      </c>
      <c r="N311" s="258">
        <v>559</v>
      </c>
      <c r="O311" s="258">
        <v>587</v>
      </c>
      <c r="P311" s="258">
        <v>467</v>
      </c>
      <c r="Q311" s="258">
        <v>522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45"/>
      <c r="B312" s="297" t="s">
        <v>7</v>
      </c>
      <c r="C312" s="307">
        <v>152</v>
      </c>
      <c r="D312" s="259">
        <v>247</v>
      </c>
      <c r="E312" s="259">
        <v>270</v>
      </c>
      <c r="F312" s="259">
        <v>343</v>
      </c>
      <c r="G312" s="259">
        <v>383</v>
      </c>
      <c r="H312" s="259">
        <v>562</v>
      </c>
      <c r="I312" s="259">
        <v>582</v>
      </c>
      <c r="J312" s="259">
        <v>762</v>
      </c>
      <c r="K312" s="259">
        <v>864</v>
      </c>
      <c r="L312" s="259">
        <v>925</v>
      </c>
      <c r="M312" s="259">
        <v>1021</v>
      </c>
      <c r="N312" s="259">
        <v>1095</v>
      </c>
      <c r="O312" s="259">
        <v>1156</v>
      </c>
      <c r="P312" s="259">
        <v>1247</v>
      </c>
      <c r="Q312" s="259">
        <v>1374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58">
        <v>20</v>
      </c>
      <c r="B313" s="329" t="s">
        <v>2</v>
      </c>
      <c r="C313" s="318">
        <v>41.4</v>
      </c>
      <c r="D313" s="262">
        <v>56.7</v>
      </c>
      <c r="E313" s="262">
        <v>66.2</v>
      </c>
      <c r="F313" s="262">
        <v>81.8</v>
      </c>
      <c r="G313" s="262">
        <v>96.3</v>
      </c>
      <c r="H313" s="237">
        <v>106</v>
      </c>
      <c r="I313" s="237">
        <v>122</v>
      </c>
      <c r="J313" s="237">
        <v>138</v>
      </c>
      <c r="K313" s="237">
        <v>166</v>
      </c>
      <c r="L313" s="237">
        <v>174</v>
      </c>
      <c r="M313" s="237">
        <v>201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1"/>
      <c r="B314" s="296" t="s">
        <v>3</v>
      </c>
      <c r="C314" s="319">
        <v>89.5</v>
      </c>
      <c r="D314" s="258">
        <v>131</v>
      </c>
      <c r="E314" s="258">
        <v>149</v>
      </c>
      <c r="F314" s="258">
        <v>195</v>
      </c>
      <c r="G314" s="258">
        <v>221</v>
      </c>
      <c r="H314" s="258">
        <v>275</v>
      </c>
      <c r="I314" s="258">
        <v>307</v>
      </c>
      <c r="J314" s="258">
        <v>446</v>
      </c>
      <c r="K314" s="258">
        <v>508</v>
      </c>
      <c r="L314" s="258">
        <v>583</v>
      </c>
      <c r="M314" s="258">
        <v>647</v>
      </c>
      <c r="N314" s="258">
        <v>732</v>
      </c>
      <c r="O314" s="258">
        <v>770</v>
      </c>
      <c r="P314" s="258">
        <v>895</v>
      </c>
      <c r="Q314" s="258">
        <v>922</v>
      </c>
      <c r="R314" s="258">
        <v>868</v>
      </c>
      <c r="S314" s="258">
        <v>929</v>
      </c>
      <c r="T314" s="258">
        <v>978</v>
      </c>
      <c r="U314" s="310">
        <v>1026</v>
      </c>
    </row>
    <row r="315" spans="1:21" ht="9.3000000000000007" customHeight="1">
      <c r="A315" s="1"/>
      <c r="B315" s="296" t="s">
        <v>5</v>
      </c>
      <c r="C315" s="319">
        <v>99</v>
      </c>
      <c r="D315" s="258">
        <v>172</v>
      </c>
      <c r="E315" s="258">
        <v>187</v>
      </c>
      <c r="F315" s="258">
        <v>228</v>
      </c>
      <c r="G315" s="258">
        <v>251</v>
      </c>
      <c r="H315" s="258">
        <v>393</v>
      </c>
      <c r="I315" s="258">
        <v>429</v>
      </c>
      <c r="J315" s="258">
        <v>462</v>
      </c>
      <c r="K315" s="258">
        <v>511</v>
      </c>
      <c r="L315" s="258">
        <v>513</v>
      </c>
      <c r="M315" s="258">
        <v>564</v>
      </c>
      <c r="N315" s="258">
        <v>557</v>
      </c>
      <c r="O315" s="258">
        <v>573</v>
      </c>
      <c r="P315" s="258">
        <v>487</v>
      </c>
      <c r="Q315" s="258">
        <v>487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45"/>
      <c r="B316" s="297" t="s">
        <v>7</v>
      </c>
      <c r="C316" s="307">
        <v>142</v>
      </c>
      <c r="D316" s="259">
        <v>237</v>
      </c>
      <c r="E316" s="259">
        <v>261</v>
      </c>
      <c r="F316" s="259">
        <v>328</v>
      </c>
      <c r="G316" s="259">
        <v>362</v>
      </c>
      <c r="H316" s="259">
        <v>539</v>
      </c>
      <c r="I316" s="259">
        <v>589</v>
      </c>
      <c r="J316" s="259">
        <v>732</v>
      </c>
      <c r="K316" s="259">
        <v>816</v>
      </c>
      <c r="L316" s="259">
        <v>877</v>
      </c>
      <c r="M316" s="259">
        <v>963</v>
      </c>
      <c r="N316" s="259">
        <v>1066</v>
      </c>
      <c r="O316" s="259">
        <v>1121</v>
      </c>
      <c r="P316" s="259">
        <v>1228</v>
      </c>
      <c r="Q316" s="259">
        <v>1269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58" t="s">
        <v>553</v>
      </c>
      <c r="B317" s="329" t="s">
        <v>2</v>
      </c>
      <c r="C317" s="318">
        <v>40.799999999999997</v>
      </c>
      <c r="D317" s="262">
        <v>56.5</v>
      </c>
      <c r="E317" s="262">
        <v>64.3</v>
      </c>
      <c r="F317" s="262">
        <v>80</v>
      </c>
      <c r="G317" s="262">
        <v>93.9</v>
      </c>
      <c r="H317" s="237">
        <v>104</v>
      </c>
      <c r="I317" s="237">
        <v>114</v>
      </c>
      <c r="J317" s="237">
        <v>140</v>
      </c>
      <c r="K317" s="237">
        <v>166</v>
      </c>
      <c r="L317" s="237">
        <v>179</v>
      </c>
      <c r="M317" s="237">
        <v>203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1"/>
      <c r="B318" s="296" t="s">
        <v>3</v>
      </c>
      <c r="C318" s="319">
        <v>87.1</v>
      </c>
      <c r="D318" s="258">
        <v>130</v>
      </c>
      <c r="E318" s="258">
        <v>145</v>
      </c>
      <c r="F318" s="258">
        <v>188</v>
      </c>
      <c r="G318" s="258">
        <v>215</v>
      </c>
      <c r="H318" s="258">
        <v>267</v>
      </c>
      <c r="I318" s="258">
        <v>287</v>
      </c>
      <c r="J318" s="258">
        <v>428</v>
      </c>
      <c r="K318" s="258">
        <v>507</v>
      </c>
      <c r="L318" s="258">
        <v>562</v>
      </c>
      <c r="M318" s="258">
        <v>650</v>
      </c>
      <c r="N318" s="258">
        <v>728</v>
      </c>
      <c r="O318" s="258">
        <v>757</v>
      </c>
      <c r="P318" s="258">
        <v>906</v>
      </c>
      <c r="Q318" s="258">
        <v>917</v>
      </c>
      <c r="R318" s="258">
        <v>914</v>
      </c>
      <c r="S318" s="258">
        <v>923</v>
      </c>
      <c r="T318" s="258">
        <v>1035</v>
      </c>
      <c r="U318" s="310">
        <v>1029</v>
      </c>
    </row>
    <row r="319" spans="1:21" ht="9.3000000000000007" customHeight="1">
      <c r="A319" s="1"/>
      <c r="B319" s="296" t="s">
        <v>5</v>
      </c>
      <c r="C319" s="319">
        <v>96.4</v>
      </c>
      <c r="D319" s="258">
        <v>171</v>
      </c>
      <c r="E319" s="258">
        <v>182</v>
      </c>
      <c r="F319" s="258">
        <v>220</v>
      </c>
      <c r="G319" s="258">
        <v>244</v>
      </c>
      <c r="H319" s="258">
        <v>381</v>
      </c>
      <c r="I319" s="258">
        <v>400</v>
      </c>
      <c r="J319" s="258">
        <v>446</v>
      </c>
      <c r="K319" s="258">
        <v>510</v>
      </c>
      <c r="L319" s="258">
        <v>502</v>
      </c>
      <c r="M319" s="258">
        <v>567</v>
      </c>
      <c r="N319" s="258">
        <v>566</v>
      </c>
      <c r="O319" s="258">
        <v>570</v>
      </c>
      <c r="P319" s="258">
        <v>526</v>
      </c>
      <c r="Q319" s="258">
        <v>509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45"/>
      <c r="B320" s="297" t="s">
        <v>7</v>
      </c>
      <c r="C320" s="307">
        <v>138</v>
      </c>
      <c r="D320" s="259">
        <v>235</v>
      </c>
      <c r="E320" s="259">
        <v>253</v>
      </c>
      <c r="F320" s="259">
        <v>316</v>
      </c>
      <c r="G320" s="259">
        <v>352</v>
      </c>
      <c r="H320" s="259">
        <v>520</v>
      </c>
      <c r="I320" s="259">
        <v>549</v>
      </c>
      <c r="J320" s="259">
        <v>700</v>
      </c>
      <c r="K320" s="259">
        <v>813</v>
      </c>
      <c r="L320" s="259">
        <v>842</v>
      </c>
      <c r="M320" s="259">
        <v>965</v>
      </c>
      <c r="N320" s="259">
        <v>1051</v>
      </c>
      <c r="O320" s="259">
        <v>1091</v>
      </c>
      <c r="P320" s="259">
        <v>1225</v>
      </c>
      <c r="Q320" s="259">
        <v>1247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58">
        <v>25</v>
      </c>
      <c r="B321" s="329" t="s">
        <v>2</v>
      </c>
      <c r="C321" s="318">
        <v>39.1</v>
      </c>
      <c r="D321" s="262">
        <v>54.4</v>
      </c>
      <c r="E321" s="262">
        <v>62.3</v>
      </c>
      <c r="F321" s="262">
        <v>78.8</v>
      </c>
      <c r="G321" s="262">
        <v>90.6</v>
      </c>
      <c r="H321" s="237">
        <v>104</v>
      </c>
      <c r="I321" s="237">
        <v>111</v>
      </c>
      <c r="J321" s="237">
        <v>140</v>
      </c>
      <c r="K321" s="237">
        <v>165</v>
      </c>
      <c r="L321" s="237">
        <v>183</v>
      </c>
      <c r="M321" s="237">
        <v>199</v>
      </c>
      <c r="N321" s="237">
        <v>211</v>
      </c>
      <c r="O321" s="237">
        <v>214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1"/>
      <c r="B322" s="296" t="s">
        <v>3</v>
      </c>
      <c r="C322" s="319">
        <v>82.5</v>
      </c>
      <c r="D322" s="258">
        <v>124</v>
      </c>
      <c r="E322" s="258">
        <v>139</v>
      </c>
      <c r="F322" s="258">
        <v>182</v>
      </c>
      <c r="G322" s="258">
        <v>206</v>
      </c>
      <c r="H322" s="258">
        <v>255</v>
      </c>
      <c r="I322" s="258">
        <v>276</v>
      </c>
      <c r="J322" s="258">
        <v>406</v>
      </c>
      <c r="K322" s="258">
        <v>489</v>
      </c>
      <c r="L322" s="258">
        <v>536</v>
      </c>
      <c r="M322" s="258">
        <v>619</v>
      </c>
      <c r="N322" s="258">
        <v>697</v>
      </c>
      <c r="O322" s="258">
        <v>753</v>
      </c>
      <c r="P322" s="258">
        <v>875</v>
      </c>
      <c r="Q322" s="258">
        <v>928</v>
      </c>
      <c r="R322" s="258">
        <v>954</v>
      </c>
      <c r="S322" s="258">
        <v>961</v>
      </c>
      <c r="T322" s="258">
        <v>1087</v>
      </c>
      <c r="U322" s="310">
        <v>1081</v>
      </c>
    </row>
    <row r="323" spans="1:21" ht="9.3000000000000007" customHeight="1">
      <c r="A323" s="1"/>
      <c r="B323" s="296" t="s">
        <v>5</v>
      </c>
      <c r="C323" s="319">
        <v>91</v>
      </c>
      <c r="D323" s="258">
        <v>162</v>
      </c>
      <c r="E323" s="258">
        <v>175</v>
      </c>
      <c r="F323" s="258">
        <v>213</v>
      </c>
      <c r="G323" s="258">
        <v>234</v>
      </c>
      <c r="H323" s="258">
        <v>365</v>
      </c>
      <c r="I323" s="258">
        <v>384</v>
      </c>
      <c r="J323" s="258">
        <v>427</v>
      </c>
      <c r="K323" s="258">
        <v>492</v>
      </c>
      <c r="L323" s="258">
        <v>485</v>
      </c>
      <c r="M323" s="258">
        <v>540</v>
      </c>
      <c r="N323" s="258">
        <v>552</v>
      </c>
      <c r="O323" s="258">
        <v>579</v>
      </c>
      <c r="P323" s="258">
        <v>536</v>
      </c>
      <c r="Q323" s="258">
        <v>546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45"/>
      <c r="B324" s="297" t="s">
        <v>7</v>
      </c>
      <c r="C324" s="307">
        <v>130</v>
      </c>
      <c r="D324" s="259">
        <v>222</v>
      </c>
      <c r="E324" s="259">
        <v>242</v>
      </c>
      <c r="F324" s="259">
        <v>305</v>
      </c>
      <c r="G324" s="259">
        <v>337</v>
      </c>
      <c r="H324" s="259">
        <v>496</v>
      </c>
      <c r="I324" s="259">
        <v>526</v>
      </c>
      <c r="J324" s="259">
        <v>663</v>
      </c>
      <c r="K324" s="259">
        <v>781</v>
      </c>
      <c r="L324" s="259">
        <v>800</v>
      </c>
      <c r="M324" s="259">
        <v>915</v>
      </c>
      <c r="N324" s="259">
        <v>993</v>
      </c>
      <c r="O324" s="259">
        <v>1074</v>
      </c>
      <c r="P324" s="259">
        <v>1175</v>
      </c>
      <c r="Q324" s="259">
        <v>1244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58">
        <v>28</v>
      </c>
      <c r="B325" s="329" t="s">
        <v>2</v>
      </c>
      <c r="C325" s="318">
        <v>37.9</v>
      </c>
      <c r="D325" s="262">
        <v>53.2</v>
      </c>
      <c r="E325" s="262">
        <v>61.9</v>
      </c>
      <c r="F325" s="262">
        <v>76</v>
      </c>
      <c r="G325" s="262">
        <v>88.5</v>
      </c>
      <c r="H325" s="237">
        <v>101</v>
      </c>
      <c r="I325" s="237">
        <v>108</v>
      </c>
      <c r="J325" s="237">
        <v>138</v>
      </c>
      <c r="K325" s="237">
        <v>164</v>
      </c>
      <c r="L325" s="237">
        <v>182</v>
      </c>
      <c r="M325" s="237">
        <v>201</v>
      </c>
      <c r="N325" s="237">
        <v>221</v>
      </c>
      <c r="O325" s="237">
        <v>225</v>
      </c>
      <c r="P325" s="237">
        <v>204</v>
      </c>
      <c r="Q325" s="237">
        <v>202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1"/>
      <c r="B326" s="296" t="s">
        <v>3</v>
      </c>
      <c r="C326" s="319">
        <v>79.2</v>
      </c>
      <c r="D326" s="258">
        <v>119</v>
      </c>
      <c r="E326" s="258">
        <v>137</v>
      </c>
      <c r="F326" s="258">
        <v>172</v>
      </c>
      <c r="G326" s="258">
        <v>199</v>
      </c>
      <c r="H326" s="258">
        <v>243</v>
      </c>
      <c r="I326" s="258">
        <v>267</v>
      </c>
      <c r="J326" s="258">
        <v>387</v>
      </c>
      <c r="K326" s="258">
        <v>468</v>
      </c>
      <c r="L326" s="258">
        <v>512</v>
      </c>
      <c r="M326" s="258">
        <v>594</v>
      </c>
      <c r="N326" s="258">
        <v>686</v>
      </c>
      <c r="O326" s="258">
        <v>720</v>
      </c>
      <c r="P326" s="258">
        <v>871</v>
      </c>
      <c r="Q326" s="258">
        <v>897</v>
      </c>
      <c r="R326" s="258">
        <v>965</v>
      </c>
      <c r="S326" s="258">
        <v>993</v>
      </c>
      <c r="T326" s="258">
        <v>1100</v>
      </c>
      <c r="U326" s="310">
        <v>1123</v>
      </c>
    </row>
    <row r="327" spans="1:21" ht="9.3000000000000007" customHeight="1">
      <c r="A327" s="1"/>
      <c r="B327" s="296" t="s">
        <v>5</v>
      </c>
      <c r="C327" s="319">
        <v>85.5</v>
      </c>
      <c r="D327" s="258">
        <v>153</v>
      </c>
      <c r="E327" s="258">
        <v>174</v>
      </c>
      <c r="F327" s="258">
        <v>204</v>
      </c>
      <c r="G327" s="258">
        <v>226</v>
      </c>
      <c r="H327" s="258">
        <v>351</v>
      </c>
      <c r="I327" s="258">
        <v>372</v>
      </c>
      <c r="J327" s="258">
        <v>410</v>
      </c>
      <c r="K327" s="258">
        <v>474</v>
      </c>
      <c r="L327" s="258">
        <v>467</v>
      </c>
      <c r="M327" s="258">
        <v>526</v>
      </c>
      <c r="N327" s="258">
        <v>551</v>
      </c>
      <c r="O327" s="258">
        <v>565</v>
      </c>
      <c r="P327" s="258">
        <v>545</v>
      </c>
      <c r="Q327" s="258">
        <v>551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45"/>
      <c r="B328" s="297" t="s">
        <v>7</v>
      </c>
      <c r="C328" s="307">
        <v>123</v>
      </c>
      <c r="D328" s="259">
        <v>211</v>
      </c>
      <c r="E328" s="259">
        <v>240</v>
      </c>
      <c r="F328" s="259">
        <v>290</v>
      </c>
      <c r="G328" s="259">
        <v>324</v>
      </c>
      <c r="H328" s="259">
        <v>473</v>
      </c>
      <c r="I328" s="259">
        <v>509</v>
      </c>
      <c r="J328" s="259">
        <v>633</v>
      </c>
      <c r="K328" s="259">
        <v>747</v>
      </c>
      <c r="L328" s="259">
        <v>764</v>
      </c>
      <c r="M328" s="259">
        <v>877</v>
      </c>
      <c r="N328" s="259">
        <v>970</v>
      </c>
      <c r="O328" s="259">
        <v>1014</v>
      </c>
      <c r="P328" s="259">
        <v>1161</v>
      </c>
      <c r="Q328" s="259">
        <v>1193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58" t="s">
        <v>556</v>
      </c>
      <c r="B329" s="329" t="s">
        <v>2</v>
      </c>
      <c r="C329" s="318">
        <v>36.200000000000003</v>
      </c>
      <c r="D329" s="262">
        <v>50.9</v>
      </c>
      <c r="E329" s="262">
        <v>59.6</v>
      </c>
      <c r="F329" s="262">
        <v>73.2</v>
      </c>
      <c r="G329" s="262">
        <v>86.7</v>
      </c>
      <c r="H329" s="262">
        <v>98.2</v>
      </c>
      <c r="I329" s="237">
        <v>107</v>
      </c>
      <c r="J329" s="237">
        <v>134</v>
      </c>
      <c r="K329" s="237">
        <v>162</v>
      </c>
      <c r="L329" s="237">
        <v>180</v>
      </c>
      <c r="M329" s="237">
        <v>205</v>
      </c>
      <c r="N329" s="237">
        <v>220</v>
      </c>
      <c r="O329" s="237">
        <v>234</v>
      </c>
      <c r="P329" s="237">
        <v>220</v>
      </c>
      <c r="Q329" s="237">
        <v>225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1"/>
      <c r="B330" s="296" t="s">
        <v>3</v>
      </c>
      <c r="C330" s="319">
        <v>75.2</v>
      </c>
      <c r="D330" s="258">
        <v>113</v>
      </c>
      <c r="E330" s="258">
        <v>131</v>
      </c>
      <c r="F330" s="258">
        <v>164</v>
      </c>
      <c r="G330" s="258">
        <v>192</v>
      </c>
      <c r="H330" s="258">
        <v>233</v>
      </c>
      <c r="I330" s="258">
        <v>255</v>
      </c>
      <c r="J330" s="258">
        <v>368</v>
      </c>
      <c r="K330" s="258">
        <v>444</v>
      </c>
      <c r="L330" s="258">
        <v>488</v>
      </c>
      <c r="M330" s="258">
        <v>567</v>
      </c>
      <c r="N330" s="258">
        <v>644</v>
      </c>
      <c r="O330" s="258">
        <v>707</v>
      </c>
      <c r="P330" s="258">
        <v>831</v>
      </c>
      <c r="Q330" s="258">
        <v>891</v>
      </c>
      <c r="R330" s="258">
        <v>949</v>
      </c>
      <c r="S330" s="258">
        <v>1000</v>
      </c>
      <c r="T330" s="258">
        <v>1081</v>
      </c>
      <c r="U330" s="310">
        <v>1129</v>
      </c>
    </row>
    <row r="331" spans="1:21" ht="9.3000000000000007" customHeight="1">
      <c r="A331" s="1"/>
      <c r="B331" s="296" t="s">
        <v>5</v>
      </c>
      <c r="C331" s="319">
        <v>79.8</v>
      </c>
      <c r="D331" s="258">
        <v>142</v>
      </c>
      <c r="E331" s="258">
        <v>164</v>
      </c>
      <c r="F331" s="258">
        <v>195</v>
      </c>
      <c r="G331" s="258">
        <v>218</v>
      </c>
      <c r="H331" s="258">
        <v>336</v>
      </c>
      <c r="I331" s="258">
        <v>357</v>
      </c>
      <c r="J331" s="258">
        <v>393</v>
      </c>
      <c r="K331" s="258">
        <v>454</v>
      </c>
      <c r="L331" s="258">
        <v>449</v>
      </c>
      <c r="M331" s="258">
        <v>507</v>
      </c>
      <c r="N331" s="258">
        <v>528</v>
      </c>
      <c r="O331" s="258">
        <v>563</v>
      </c>
      <c r="P331" s="258">
        <v>535</v>
      </c>
      <c r="Q331" s="258">
        <v>559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45"/>
      <c r="B332" s="297" t="s">
        <v>7</v>
      </c>
      <c r="C332" s="307">
        <v>115</v>
      </c>
      <c r="D332" s="259">
        <v>197</v>
      </c>
      <c r="E332" s="259">
        <v>227</v>
      </c>
      <c r="F332" s="259">
        <v>276</v>
      </c>
      <c r="G332" s="259">
        <v>313</v>
      </c>
      <c r="H332" s="259">
        <v>453</v>
      </c>
      <c r="I332" s="259">
        <v>485</v>
      </c>
      <c r="J332" s="259">
        <v>602</v>
      </c>
      <c r="K332" s="259">
        <v>707</v>
      </c>
      <c r="L332" s="259">
        <v>727</v>
      </c>
      <c r="M332" s="259">
        <v>833</v>
      </c>
      <c r="N332" s="259">
        <v>912</v>
      </c>
      <c r="O332" s="259">
        <v>992</v>
      </c>
      <c r="P332" s="259">
        <v>1101</v>
      </c>
      <c r="Q332" s="259">
        <v>1178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58" t="s">
        <v>557</v>
      </c>
      <c r="B333" s="329" t="s">
        <v>2</v>
      </c>
      <c r="C333" s="318">
        <v>34.4</v>
      </c>
      <c r="D333" s="262">
        <v>48.5</v>
      </c>
      <c r="E333" s="262">
        <v>58</v>
      </c>
      <c r="F333" s="262">
        <v>70.3</v>
      </c>
      <c r="G333" s="262">
        <v>83.5</v>
      </c>
      <c r="H333" s="262">
        <v>94.6</v>
      </c>
      <c r="I333" s="237">
        <v>105</v>
      </c>
      <c r="J333" s="237">
        <v>131</v>
      </c>
      <c r="K333" s="237">
        <v>158</v>
      </c>
      <c r="L333" s="237">
        <v>177</v>
      </c>
      <c r="M333" s="237">
        <v>202</v>
      </c>
      <c r="N333" s="237">
        <v>219</v>
      </c>
      <c r="O333" s="237">
        <v>232</v>
      </c>
      <c r="P333" s="237">
        <v>223</v>
      </c>
      <c r="Q333" s="237">
        <v>236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1"/>
      <c r="B334" s="296" t="s">
        <v>3</v>
      </c>
      <c r="C334" s="319">
        <v>70.900000000000006</v>
      </c>
      <c r="D334" s="258">
        <v>106</v>
      </c>
      <c r="E334" s="258">
        <v>126</v>
      </c>
      <c r="F334" s="258">
        <v>155</v>
      </c>
      <c r="G334" s="258">
        <v>182</v>
      </c>
      <c r="H334" s="258">
        <v>220</v>
      </c>
      <c r="I334" s="258">
        <v>244</v>
      </c>
      <c r="J334" s="258">
        <v>353</v>
      </c>
      <c r="K334" s="258">
        <v>422</v>
      </c>
      <c r="L334" s="258">
        <v>470</v>
      </c>
      <c r="M334" s="258">
        <v>541</v>
      </c>
      <c r="N334" s="258">
        <v>622</v>
      </c>
      <c r="O334" s="258">
        <v>665</v>
      </c>
      <c r="P334" s="258">
        <v>806</v>
      </c>
      <c r="Q334" s="258">
        <v>850</v>
      </c>
      <c r="R334" s="258">
        <v>935</v>
      </c>
      <c r="S334" s="258">
        <v>978</v>
      </c>
      <c r="T334" s="258">
        <v>1066</v>
      </c>
      <c r="U334" s="310">
        <v>1108</v>
      </c>
    </row>
    <row r="335" spans="1:21" ht="9.3000000000000007" customHeight="1">
      <c r="A335" s="1"/>
      <c r="B335" s="296" t="s">
        <v>5</v>
      </c>
      <c r="C335" s="319">
        <v>73.400000000000006</v>
      </c>
      <c r="D335" s="258">
        <v>130</v>
      </c>
      <c r="E335" s="258">
        <v>155</v>
      </c>
      <c r="F335" s="258">
        <v>186</v>
      </c>
      <c r="G335" s="258">
        <v>209</v>
      </c>
      <c r="H335" s="258">
        <v>321</v>
      </c>
      <c r="I335" s="258">
        <v>342</v>
      </c>
      <c r="J335" s="258">
        <v>381</v>
      </c>
      <c r="K335" s="258">
        <v>436</v>
      </c>
      <c r="L335" s="258">
        <v>436</v>
      </c>
      <c r="M335" s="258">
        <v>488</v>
      </c>
      <c r="N335" s="258">
        <v>514</v>
      </c>
      <c r="O335" s="258">
        <v>538</v>
      </c>
      <c r="P335" s="258">
        <v>528</v>
      </c>
      <c r="Q335" s="258">
        <v>548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45"/>
      <c r="B336" s="297" t="s">
        <v>7</v>
      </c>
      <c r="C336" s="307">
        <v>107</v>
      </c>
      <c r="D336" s="259">
        <v>181</v>
      </c>
      <c r="E336" s="259">
        <v>216</v>
      </c>
      <c r="F336" s="259">
        <v>262</v>
      </c>
      <c r="G336" s="259">
        <v>297</v>
      </c>
      <c r="H336" s="259">
        <v>429</v>
      </c>
      <c r="I336" s="259">
        <v>463</v>
      </c>
      <c r="J336" s="259">
        <v>580</v>
      </c>
      <c r="K336" s="259">
        <v>674</v>
      </c>
      <c r="L336" s="259">
        <v>701</v>
      </c>
      <c r="M336" s="259">
        <v>794</v>
      </c>
      <c r="N336" s="259">
        <v>880</v>
      </c>
      <c r="O336" s="259">
        <v>930</v>
      </c>
      <c r="P336" s="259">
        <v>1065</v>
      </c>
      <c r="Q336" s="259">
        <v>1116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58">
        <v>40</v>
      </c>
      <c r="B337" s="329" t="s">
        <v>2</v>
      </c>
      <c r="C337" s="318">
        <v>30.2</v>
      </c>
      <c r="D337" s="262">
        <v>42.9</v>
      </c>
      <c r="E337" s="262">
        <v>55.5</v>
      </c>
      <c r="F337" s="262">
        <v>62.4</v>
      </c>
      <c r="G337" s="262">
        <v>80.2</v>
      </c>
      <c r="H337" s="262">
        <v>89.4</v>
      </c>
      <c r="I337" s="237">
        <v>102</v>
      </c>
      <c r="J337" s="237">
        <v>125</v>
      </c>
      <c r="K337" s="237">
        <v>154</v>
      </c>
      <c r="L337" s="237">
        <v>171</v>
      </c>
      <c r="M337" s="237">
        <v>199</v>
      </c>
      <c r="N337" s="237">
        <v>216</v>
      </c>
      <c r="O337" s="237">
        <v>231</v>
      </c>
      <c r="P337" s="237">
        <v>226</v>
      </c>
      <c r="Q337" s="237">
        <v>240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1"/>
      <c r="B338" s="296" t="s">
        <v>3</v>
      </c>
      <c r="C338" s="319">
        <v>61.2</v>
      </c>
      <c r="D338" s="320">
        <v>92.2</v>
      </c>
      <c r="E338" s="258">
        <v>120</v>
      </c>
      <c r="F338" s="258">
        <v>135</v>
      </c>
      <c r="G338" s="258">
        <v>173</v>
      </c>
      <c r="H338" s="258">
        <v>204</v>
      </c>
      <c r="I338" s="258">
        <v>233</v>
      </c>
      <c r="J338" s="258">
        <v>332</v>
      </c>
      <c r="K338" s="258">
        <v>401</v>
      </c>
      <c r="L338" s="258">
        <v>444</v>
      </c>
      <c r="M338" s="258">
        <v>515</v>
      </c>
      <c r="N338" s="258">
        <v>591</v>
      </c>
      <c r="O338" s="258">
        <v>642</v>
      </c>
      <c r="P338" s="258">
        <v>770</v>
      </c>
      <c r="Q338" s="258">
        <v>824</v>
      </c>
      <c r="R338" s="258">
        <v>908</v>
      </c>
      <c r="S338" s="258">
        <v>963</v>
      </c>
      <c r="T338" s="258">
        <v>1035</v>
      </c>
      <c r="U338" s="310">
        <v>1089</v>
      </c>
    </row>
    <row r="339" spans="1:21" ht="9.3000000000000007" customHeight="1">
      <c r="A339" s="1"/>
      <c r="B339" s="296" t="s">
        <v>5</v>
      </c>
      <c r="C339" s="319">
        <v>60.5</v>
      </c>
      <c r="D339" s="258">
        <v>107</v>
      </c>
      <c r="E339" s="258">
        <v>145</v>
      </c>
      <c r="F339" s="258">
        <v>166</v>
      </c>
      <c r="G339" s="258">
        <v>200</v>
      </c>
      <c r="H339" s="258">
        <v>293</v>
      </c>
      <c r="I339" s="258">
        <v>329</v>
      </c>
      <c r="J339" s="258">
        <v>362</v>
      </c>
      <c r="K339" s="258">
        <v>418</v>
      </c>
      <c r="L339" s="258">
        <v>415</v>
      </c>
      <c r="M339" s="258">
        <v>469</v>
      </c>
      <c r="N339" s="258">
        <v>494</v>
      </c>
      <c r="O339" s="258">
        <v>524</v>
      </c>
      <c r="P339" s="258">
        <v>517</v>
      </c>
      <c r="Q339" s="258">
        <v>541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45"/>
      <c r="B340" s="297" t="s">
        <v>7</v>
      </c>
      <c r="C340" s="321">
        <v>89.1</v>
      </c>
      <c r="D340" s="259">
        <v>151</v>
      </c>
      <c r="E340" s="259">
        <v>202</v>
      </c>
      <c r="F340" s="259">
        <v>230</v>
      </c>
      <c r="G340" s="259">
        <v>283</v>
      </c>
      <c r="H340" s="259">
        <v>392</v>
      </c>
      <c r="I340" s="259">
        <v>443</v>
      </c>
      <c r="J340" s="259">
        <v>547</v>
      </c>
      <c r="K340" s="259">
        <v>641</v>
      </c>
      <c r="L340" s="259">
        <v>663</v>
      </c>
      <c r="M340" s="259">
        <v>756</v>
      </c>
      <c r="N340" s="259">
        <v>835</v>
      </c>
      <c r="O340" s="259">
        <v>899</v>
      </c>
      <c r="P340" s="259">
        <v>1015</v>
      </c>
      <c r="Q340" s="259">
        <v>1080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58">
        <v>45</v>
      </c>
      <c r="B341" s="329" t="s">
        <v>2</v>
      </c>
      <c r="C341" s="318">
        <v>29.5</v>
      </c>
      <c r="D341" s="262">
        <v>41.8</v>
      </c>
      <c r="E341" s="262">
        <v>52.8</v>
      </c>
      <c r="F341" s="262">
        <v>60.9</v>
      </c>
      <c r="G341" s="262">
        <v>76.900000000000006</v>
      </c>
      <c r="H341" s="262">
        <v>83.4</v>
      </c>
      <c r="I341" s="262">
        <v>97.7</v>
      </c>
      <c r="J341" s="237">
        <v>117</v>
      </c>
      <c r="K341" s="237">
        <v>150</v>
      </c>
      <c r="L341" s="237">
        <v>159</v>
      </c>
      <c r="M341" s="237">
        <v>194</v>
      </c>
      <c r="N341" s="237">
        <v>205</v>
      </c>
      <c r="O341" s="237">
        <v>227</v>
      </c>
      <c r="P341" s="237">
        <v>218</v>
      </c>
      <c r="Q341" s="237">
        <v>242</v>
      </c>
      <c r="R341" s="237">
        <v>210</v>
      </c>
      <c r="S341" s="237">
        <v>234</v>
      </c>
      <c r="T341" s="237">
        <v>239</v>
      </c>
      <c r="U341" s="316">
        <v>263</v>
      </c>
    </row>
    <row r="342" spans="1:21" ht="9" customHeight="1">
      <c r="A342" s="1"/>
      <c r="B342" s="296" t="s">
        <v>3</v>
      </c>
      <c r="C342" s="319">
        <v>59.6</v>
      </c>
      <c r="D342" s="320">
        <v>89.4</v>
      </c>
      <c r="E342" s="258">
        <v>112</v>
      </c>
      <c r="F342" s="258">
        <v>131</v>
      </c>
      <c r="G342" s="258">
        <v>164</v>
      </c>
      <c r="H342" s="258">
        <v>188</v>
      </c>
      <c r="I342" s="258">
        <v>220</v>
      </c>
      <c r="J342" s="258">
        <v>306</v>
      </c>
      <c r="K342" s="258">
        <v>386</v>
      </c>
      <c r="L342" s="258">
        <v>406</v>
      </c>
      <c r="M342" s="258">
        <v>496</v>
      </c>
      <c r="N342" s="258">
        <v>546</v>
      </c>
      <c r="O342" s="258">
        <v>609</v>
      </c>
      <c r="P342" s="258">
        <v>716</v>
      </c>
      <c r="Q342" s="258">
        <v>786</v>
      </c>
      <c r="R342" s="258">
        <v>860</v>
      </c>
      <c r="S342" s="258">
        <v>933</v>
      </c>
      <c r="T342" s="258">
        <v>974</v>
      </c>
      <c r="U342" s="310">
        <v>1055</v>
      </c>
    </row>
    <row r="343" spans="1:21" ht="9.3000000000000007" customHeight="1">
      <c r="A343" s="1"/>
      <c r="B343" s="296" t="s">
        <v>5</v>
      </c>
      <c r="C343" s="319">
        <v>58.6</v>
      </c>
      <c r="D343" s="258">
        <v>102</v>
      </c>
      <c r="E343" s="258">
        <v>132</v>
      </c>
      <c r="F343" s="258">
        <v>161</v>
      </c>
      <c r="G343" s="258">
        <v>191</v>
      </c>
      <c r="H343" s="258">
        <v>262</v>
      </c>
      <c r="I343" s="258">
        <v>314</v>
      </c>
      <c r="J343" s="258">
        <v>337</v>
      </c>
      <c r="K343" s="258">
        <v>404</v>
      </c>
      <c r="L343" s="258">
        <v>385</v>
      </c>
      <c r="M343" s="258">
        <v>454</v>
      </c>
      <c r="N343" s="258">
        <v>462</v>
      </c>
      <c r="O343" s="258">
        <v>503</v>
      </c>
      <c r="P343" s="258">
        <v>489</v>
      </c>
      <c r="Q343" s="258">
        <v>529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95" customHeight="1">
      <c r="A344" s="45"/>
      <c r="B344" s="297" t="s">
        <v>7</v>
      </c>
      <c r="C344" s="321">
        <v>86.4</v>
      </c>
      <c r="D344" s="259">
        <v>145</v>
      </c>
      <c r="E344" s="259">
        <v>185</v>
      </c>
      <c r="F344" s="259">
        <v>223</v>
      </c>
      <c r="G344" s="259">
        <v>268</v>
      </c>
      <c r="H344" s="259">
        <v>354</v>
      </c>
      <c r="I344" s="259">
        <v>420</v>
      </c>
      <c r="J344" s="259">
        <v>506</v>
      </c>
      <c r="K344" s="259">
        <v>616</v>
      </c>
      <c r="L344" s="259">
        <v>610</v>
      </c>
      <c r="M344" s="259">
        <v>729</v>
      </c>
      <c r="N344" s="259">
        <v>773</v>
      </c>
      <c r="O344" s="259">
        <v>853</v>
      </c>
      <c r="P344" s="259">
        <v>946</v>
      </c>
      <c r="Q344" s="259">
        <v>1029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199999999999999" customHeight="1">
      <c r="A345" s="58">
        <v>50</v>
      </c>
      <c r="B345" s="329" t="s">
        <v>2</v>
      </c>
      <c r="C345" s="318">
        <v>30.9</v>
      </c>
      <c r="D345" s="262">
        <v>42.9</v>
      </c>
      <c r="E345" s="262">
        <v>46.6</v>
      </c>
      <c r="F345" s="262">
        <v>62.7</v>
      </c>
      <c r="G345" s="262">
        <v>68.3</v>
      </c>
      <c r="H345" s="262">
        <v>86.1</v>
      </c>
      <c r="I345" s="262">
        <v>92.5</v>
      </c>
      <c r="J345" s="237">
        <v>126</v>
      </c>
      <c r="K345" s="237">
        <v>143</v>
      </c>
      <c r="L345" s="237">
        <v>174</v>
      </c>
      <c r="M345" s="237">
        <v>187</v>
      </c>
      <c r="N345" s="237">
        <v>241</v>
      </c>
      <c r="O345" s="237">
        <v>215</v>
      </c>
      <c r="P345" s="237">
        <v>284</v>
      </c>
      <c r="Q345" s="237">
        <v>232</v>
      </c>
      <c r="R345" s="237">
        <v>283</v>
      </c>
      <c r="S345" s="237">
        <v>234</v>
      </c>
      <c r="T345" s="237">
        <v>366</v>
      </c>
      <c r="U345" s="316">
        <v>264</v>
      </c>
    </row>
    <row r="346" spans="1:21" ht="9" customHeight="1">
      <c r="A346" s="1"/>
      <c r="B346" s="296" t="s">
        <v>3</v>
      </c>
      <c r="C346" s="319">
        <v>60.3</v>
      </c>
      <c r="D346" s="320">
        <v>88.3</v>
      </c>
      <c r="E346" s="320">
        <v>97.6</v>
      </c>
      <c r="F346" s="258">
        <v>129</v>
      </c>
      <c r="G346" s="258">
        <v>143</v>
      </c>
      <c r="H346" s="258">
        <v>186</v>
      </c>
      <c r="I346" s="258">
        <v>205</v>
      </c>
      <c r="J346" s="258">
        <v>305</v>
      </c>
      <c r="K346" s="258">
        <v>362</v>
      </c>
      <c r="L346" s="258">
        <v>415</v>
      </c>
      <c r="M346" s="258">
        <v>468</v>
      </c>
      <c r="N346" s="258">
        <v>573</v>
      </c>
      <c r="O346" s="258">
        <v>563</v>
      </c>
      <c r="P346" s="258">
        <v>765</v>
      </c>
      <c r="Q346" s="258">
        <v>732</v>
      </c>
      <c r="R346" s="258">
        <v>907</v>
      </c>
      <c r="S346" s="258">
        <v>883</v>
      </c>
      <c r="T346" s="258">
        <v>1072</v>
      </c>
      <c r="U346" s="310">
        <v>993</v>
      </c>
    </row>
    <row r="347" spans="1:21" ht="9.3000000000000007" customHeight="1">
      <c r="A347" s="1"/>
      <c r="B347" s="296" t="s">
        <v>5</v>
      </c>
      <c r="C347" s="319">
        <v>59.4</v>
      </c>
      <c r="D347" s="258">
        <v>100</v>
      </c>
      <c r="E347" s="258">
        <v>109</v>
      </c>
      <c r="F347" s="258">
        <v>160</v>
      </c>
      <c r="G347" s="258">
        <v>170</v>
      </c>
      <c r="H347" s="258">
        <v>254</v>
      </c>
      <c r="I347" s="258">
        <v>296</v>
      </c>
      <c r="J347" s="258">
        <v>338</v>
      </c>
      <c r="K347" s="258">
        <v>384</v>
      </c>
      <c r="L347" s="258">
        <v>396</v>
      </c>
      <c r="M347" s="258">
        <v>433</v>
      </c>
      <c r="N347" s="258">
        <v>492</v>
      </c>
      <c r="O347" s="258">
        <v>471</v>
      </c>
      <c r="P347" s="258">
        <v>544</v>
      </c>
      <c r="Q347" s="258">
        <v>499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95" customHeight="1">
      <c r="A348" s="45"/>
      <c r="B348" s="297" t="s">
        <v>7</v>
      </c>
      <c r="C348" s="321">
        <v>86.4</v>
      </c>
      <c r="D348" s="259">
        <v>141</v>
      </c>
      <c r="E348" s="259">
        <v>155</v>
      </c>
      <c r="F348" s="259">
        <v>219</v>
      </c>
      <c r="G348" s="259">
        <v>236</v>
      </c>
      <c r="H348" s="259">
        <v>341</v>
      </c>
      <c r="I348" s="259">
        <v>393</v>
      </c>
      <c r="J348" s="259">
        <v>499</v>
      </c>
      <c r="K348" s="259">
        <v>581</v>
      </c>
      <c r="L348" s="259">
        <v>616</v>
      </c>
      <c r="M348" s="259">
        <v>689</v>
      </c>
      <c r="N348" s="259">
        <v>798</v>
      </c>
      <c r="O348" s="259">
        <v>789</v>
      </c>
      <c r="P348" s="259">
        <v>991</v>
      </c>
      <c r="Q348" s="259">
        <v>959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199999999999999" customHeight="1">
      <c r="A349" s="58">
        <v>56</v>
      </c>
      <c r="B349" s="329" t="s">
        <v>2</v>
      </c>
      <c r="C349" s="318">
        <v>28.3</v>
      </c>
      <c r="D349" s="262">
        <v>39.4</v>
      </c>
      <c r="E349" s="262">
        <v>45.4</v>
      </c>
      <c r="F349" s="262">
        <v>57.9</v>
      </c>
      <c r="G349" s="262">
        <v>66.5</v>
      </c>
      <c r="H349" s="262">
        <v>79.2</v>
      </c>
      <c r="I349" s="262">
        <v>86.3</v>
      </c>
      <c r="J349" s="237">
        <v>116</v>
      </c>
      <c r="K349" s="237">
        <v>133</v>
      </c>
      <c r="L349" s="237">
        <v>161</v>
      </c>
      <c r="M349" s="237">
        <v>174</v>
      </c>
      <c r="N349" s="237">
        <v>225</v>
      </c>
      <c r="O349" s="237">
        <v>251</v>
      </c>
      <c r="P349" s="237">
        <v>270</v>
      </c>
      <c r="Q349" s="237">
        <v>298</v>
      </c>
      <c r="R349" s="237">
        <v>277</v>
      </c>
      <c r="S349" s="237">
        <v>309</v>
      </c>
      <c r="T349" s="237">
        <v>356</v>
      </c>
      <c r="U349" s="316">
        <v>391</v>
      </c>
    </row>
    <row r="350" spans="1:21" ht="9" customHeight="1">
      <c r="A350" s="1"/>
      <c r="B350" s="296" t="s">
        <v>3</v>
      </c>
      <c r="C350" s="319">
        <v>54.6</v>
      </c>
      <c r="D350" s="320">
        <v>80.5</v>
      </c>
      <c r="E350" s="320">
        <v>94.7</v>
      </c>
      <c r="F350" s="258">
        <v>118</v>
      </c>
      <c r="G350" s="258">
        <v>138</v>
      </c>
      <c r="H350" s="258">
        <v>169</v>
      </c>
      <c r="I350" s="258">
        <v>189</v>
      </c>
      <c r="J350" s="258">
        <v>278</v>
      </c>
      <c r="K350" s="258">
        <v>333</v>
      </c>
      <c r="L350" s="258">
        <v>380</v>
      </c>
      <c r="M350" s="258">
        <v>428</v>
      </c>
      <c r="N350" s="258">
        <v>526</v>
      </c>
      <c r="O350" s="258">
        <v>590</v>
      </c>
      <c r="P350" s="258">
        <v>705</v>
      </c>
      <c r="Q350" s="258">
        <v>780</v>
      </c>
      <c r="R350" s="258">
        <v>841</v>
      </c>
      <c r="S350" s="258">
        <v>929</v>
      </c>
      <c r="T350" s="258">
        <v>992</v>
      </c>
      <c r="U350" s="310">
        <v>1087</v>
      </c>
    </row>
    <row r="351" spans="1:21" ht="9.3000000000000007" customHeight="1">
      <c r="A351" s="1"/>
      <c r="B351" s="296" t="s">
        <v>5</v>
      </c>
      <c r="C351" s="319">
        <v>52.8</v>
      </c>
      <c r="D351" s="320">
        <v>89.6</v>
      </c>
      <c r="E351" s="258">
        <v>104</v>
      </c>
      <c r="F351" s="258">
        <v>146</v>
      </c>
      <c r="G351" s="258">
        <v>165</v>
      </c>
      <c r="H351" s="258">
        <v>224</v>
      </c>
      <c r="I351" s="258">
        <v>268</v>
      </c>
      <c r="J351" s="258">
        <v>312</v>
      </c>
      <c r="K351" s="258">
        <v>357</v>
      </c>
      <c r="L351" s="258">
        <v>367</v>
      </c>
      <c r="M351" s="258">
        <v>402</v>
      </c>
      <c r="N351" s="258">
        <v>457</v>
      </c>
      <c r="O351" s="258">
        <v>501</v>
      </c>
      <c r="P351" s="258">
        <v>509</v>
      </c>
      <c r="Q351" s="258">
        <v>554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1"/>
      <c r="B352" s="296" t="s">
        <v>7</v>
      </c>
      <c r="C352" s="319">
        <v>77.099999999999994</v>
      </c>
      <c r="D352" s="258">
        <v>127</v>
      </c>
      <c r="E352" s="258">
        <v>149</v>
      </c>
      <c r="F352" s="258">
        <v>200</v>
      </c>
      <c r="G352" s="258">
        <v>229</v>
      </c>
      <c r="H352" s="258">
        <v>303</v>
      </c>
      <c r="I352" s="258">
        <v>358</v>
      </c>
      <c r="J352" s="258">
        <v>457</v>
      </c>
      <c r="K352" s="258">
        <v>537</v>
      </c>
      <c r="L352" s="258">
        <v>565</v>
      </c>
      <c r="M352" s="258">
        <v>633</v>
      </c>
      <c r="N352" s="258">
        <v>734</v>
      </c>
      <c r="O352" s="258">
        <v>813</v>
      </c>
      <c r="P352" s="258">
        <v>915</v>
      </c>
      <c r="Q352" s="258">
        <v>1003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5" customHeight="1">
      <c r="A353" s="58">
        <v>63</v>
      </c>
      <c r="B353" s="329" t="s">
        <v>2</v>
      </c>
      <c r="C353" s="318">
        <v>27.1</v>
      </c>
      <c r="D353" s="262">
        <v>37.700000000000003</v>
      </c>
      <c r="E353" s="262">
        <v>46.4</v>
      </c>
      <c r="F353" s="262">
        <v>55.7</v>
      </c>
      <c r="G353" s="262">
        <v>68.099999999999994</v>
      </c>
      <c r="H353" s="262">
        <v>75.900000000000006</v>
      </c>
      <c r="I353" s="262">
        <v>88.4</v>
      </c>
      <c r="J353" s="237">
        <v>111</v>
      </c>
      <c r="K353" s="237">
        <v>141</v>
      </c>
      <c r="L353" s="237">
        <v>155</v>
      </c>
      <c r="M353" s="237">
        <v>188</v>
      </c>
      <c r="N353" s="237">
        <v>218</v>
      </c>
      <c r="O353" s="237">
        <v>234</v>
      </c>
      <c r="P353" s="237">
        <v>263</v>
      </c>
      <c r="Q353" s="237">
        <v>281</v>
      </c>
      <c r="R353" s="237">
        <v>277</v>
      </c>
      <c r="S353" s="237">
        <v>300</v>
      </c>
      <c r="T353" s="237">
        <v>355</v>
      </c>
      <c r="U353" s="316">
        <v>378</v>
      </c>
    </row>
    <row r="354" spans="1:21" ht="9" customHeight="1">
      <c r="A354" s="1"/>
      <c r="B354" s="296" t="s">
        <v>3</v>
      </c>
      <c r="C354" s="319">
        <v>51.8</v>
      </c>
      <c r="D354" s="320">
        <v>76.5</v>
      </c>
      <c r="E354" s="320">
        <v>93.5</v>
      </c>
      <c r="F354" s="258">
        <v>113</v>
      </c>
      <c r="G354" s="258">
        <v>136</v>
      </c>
      <c r="H354" s="258">
        <v>161</v>
      </c>
      <c r="I354" s="258">
        <v>186</v>
      </c>
      <c r="J354" s="258">
        <v>264</v>
      </c>
      <c r="K354" s="258">
        <v>332</v>
      </c>
      <c r="L354" s="258">
        <v>361</v>
      </c>
      <c r="M354" s="258">
        <v>437</v>
      </c>
      <c r="N354" s="258">
        <v>504</v>
      </c>
      <c r="O354" s="258">
        <v>541</v>
      </c>
      <c r="P354" s="258">
        <v>677</v>
      </c>
      <c r="Q354" s="258">
        <v>719</v>
      </c>
      <c r="R354" s="258">
        <v>817</v>
      </c>
      <c r="S354" s="258">
        <v>861</v>
      </c>
      <c r="T354" s="258">
        <v>964</v>
      </c>
      <c r="U354" s="310">
        <v>1006</v>
      </c>
    </row>
    <row r="355" spans="1:21" ht="9.3000000000000007" customHeight="1">
      <c r="A355" s="1"/>
      <c r="B355" s="296" t="s">
        <v>5</v>
      </c>
      <c r="C355" s="319">
        <v>49.4</v>
      </c>
      <c r="D355" s="320">
        <v>83.6</v>
      </c>
      <c r="E355" s="258">
        <v>102</v>
      </c>
      <c r="F355" s="258">
        <v>137</v>
      </c>
      <c r="G355" s="258">
        <v>164</v>
      </c>
      <c r="H355" s="258">
        <v>209</v>
      </c>
      <c r="I355" s="258">
        <v>259</v>
      </c>
      <c r="J355" s="258">
        <v>300</v>
      </c>
      <c r="K355" s="258">
        <v>358</v>
      </c>
      <c r="L355" s="258">
        <v>353</v>
      </c>
      <c r="M355" s="258">
        <v>412</v>
      </c>
      <c r="N355" s="258">
        <v>441</v>
      </c>
      <c r="O355" s="258">
        <v>465</v>
      </c>
      <c r="P355" s="258">
        <v>494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1"/>
      <c r="B356" s="296" t="s">
        <v>7</v>
      </c>
      <c r="C356" s="321">
        <v>72.400000000000006</v>
      </c>
      <c r="D356" s="259">
        <v>119</v>
      </c>
      <c r="E356" s="259">
        <v>145</v>
      </c>
      <c r="F356" s="259">
        <v>188</v>
      </c>
      <c r="G356" s="259">
        <v>225</v>
      </c>
      <c r="H356" s="259">
        <v>284</v>
      </c>
      <c r="I356" s="259">
        <v>345</v>
      </c>
      <c r="J356" s="259">
        <v>436</v>
      </c>
      <c r="K356" s="259">
        <v>530</v>
      </c>
      <c r="L356" s="259">
        <v>540</v>
      </c>
      <c r="M356" s="259">
        <v>638</v>
      </c>
      <c r="N356" s="259">
        <v>704</v>
      </c>
      <c r="O356" s="259">
        <v>748</v>
      </c>
      <c r="P356" s="259">
        <v>880</v>
      </c>
      <c r="Q356" s="259">
        <v>926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58">
        <v>71</v>
      </c>
      <c r="B357" s="329" t="s">
        <v>2</v>
      </c>
      <c r="C357" s="318">
        <v>24.7</v>
      </c>
      <c r="D357" s="262">
        <v>35.5</v>
      </c>
      <c r="E357" s="262">
        <v>42.6</v>
      </c>
      <c r="F357" s="262">
        <v>52.4</v>
      </c>
      <c r="G357" s="262">
        <v>62.9</v>
      </c>
      <c r="H357" s="262">
        <v>70.5</v>
      </c>
      <c r="I357" s="262">
        <v>81.5</v>
      </c>
      <c r="J357" s="237">
        <v>103</v>
      </c>
      <c r="K357" s="237">
        <v>130</v>
      </c>
      <c r="L357" s="237">
        <v>144</v>
      </c>
      <c r="M357" s="237">
        <v>175</v>
      </c>
      <c r="N357" s="237">
        <v>208</v>
      </c>
      <c r="O357" s="237">
        <v>226</v>
      </c>
      <c r="P357" s="237">
        <v>253</v>
      </c>
      <c r="Q357" s="237">
        <v>274</v>
      </c>
      <c r="R357" s="237">
        <v>275</v>
      </c>
      <c r="S357" s="237">
        <v>298</v>
      </c>
      <c r="T357" s="237">
        <v>349</v>
      </c>
      <c r="U357" s="316">
        <v>376</v>
      </c>
    </row>
    <row r="358" spans="1:21" ht="9" customHeight="1">
      <c r="A358" s="1"/>
      <c r="B358" s="296" t="s">
        <v>3</v>
      </c>
      <c r="C358" s="319">
        <v>46.9</v>
      </c>
      <c r="D358" s="320">
        <v>71.2</v>
      </c>
      <c r="E358" s="320">
        <v>85.2</v>
      </c>
      <c r="F358" s="258">
        <v>105</v>
      </c>
      <c r="G358" s="258">
        <v>125</v>
      </c>
      <c r="H358" s="258">
        <v>147</v>
      </c>
      <c r="I358" s="258">
        <v>170</v>
      </c>
      <c r="J358" s="258">
        <v>241</v>
      </c>
      <c r="K358" s="258">
        <v>302</v>
      </c>
      <c r="L358" s="258">
        <v>332</v>
      </c>
      <c r="M358" s="258">
        <v>399</v>
      </c>
      <c r="N358" s="258">
        <v>473</v>
      </c>
      <c r="O358" s="258">
        <v>518</v>
      </c>
      <c r="P358" s="258">
        <v>638</v>
      </c>
      <c r="Q358" s="258">
        <v>690</v>
      </c>
      <c r="R358" s="258">
        <v>775</v>
      </c>
      <c r="S358" s="258">
        <v>836</v>
      </c>
      <c r="T358" s="258">
        <v>914</v>
      </c>
      <c r="U358" s="310">
        <v>979</v>
      </c>
    </row>
    <row r="359" spans="1:21" ht="9.3000000000000007" customHeight="1">
      <c r="A359" s="1"/>
      <c r="B359" s="296" t="s">
        <v>5</v>
      </c>
      <c r="C359" s="319">
        <v>43.9</v>
      </c>
      <c r="D359" s="320">
        <v>76.099999999999994</v>
      </c>
      <c r="E359" s="320">
        <v>91.4</v>
      </c>
      <c r="F359" s="258">
        <v>125</v>
      </c>
      <c r="G359" s="258">
        <v>150</v>
      </c>
      <c r="H359" s="258">
        <v>186</v>
      </c>
      <c r="I359" s="258">
        <v>230</v>
      </c>
      <c r="J359" s="258">
        <v>268</v>
      </c>
      <c r="K359" s="258">
        <v>329</v>
      </c>
      <c r="L359" s="258">
        <v>330</v>
      </c>
      <c r="M359" s="258">
        <v>381</v>
      </c>
      <c r="N359" s="258">
        <v>420</v>
      </c>
      <c r="O359" s="258">
        <v>449</v>
      </c>
      <c r="P359" s="258">
        <v>473</v>
      </c>
      <c r="Q359" s="258">
        <v>502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1"/>
      <c r="B360" s="296" t="s">
        <v>7</v>
      </c>
      <c r="C360" s="321">
        <v>64.7</v>
      </c>
      <c r="D360" s="259">
        <v>109</v>
      </c>
      <c r="E360" s="259">
        <v>130</v>
      </c>
      <c r="F360" s="259">
        <v>172</v>
      </c>
      <c r="G360" s="259">
        <v>205</v>
      </c>
      <c r="H360" s="259">
        <v>255</v>
      </c>
      <c r="I360" s="259">
        <v>307</v>
      </c>
      <c r="J360" s="259">
        <v>391</v>
      </c>
      <c r="K360" s="259">
        <v>484</v>
      </c>
      <c r="L360" s="259">
        <v>500</v>
      </c>
      <c r="M360" s="259">
        <v>586</v>
      </c>
      <c r="N360" s="259">
        <v>664</v>
      </c>
      <c r="O360" s="259">
        <v>718</v>
      </c>
      <c r="P360" s="259">
        <v>832</v>
      </c>
      <c r="Q360" s="259">
        <v>891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58">
        <v>80</v>
      </c>
      <c r="B361" s="329" t="s">
        <v>2</v>
      </c>
      <c r="C361" s="153" t="s">
        <v>1</v>
      </c>
      <c r="D361" s="85" t="s">
        <v>1</v>
      </c>
      <c r="E361" s="262">
        <v>40.799999999999997</v>
      </c>
      <c r="F361" s="85" t="s">
        <v>1</v>
      </c>
      <c r="G361" s="262">
        <v>60.4</v>
      </c>
      <c r="H361" s="85" t="s">
        <v>1</v>
      </c>
      <c r="I361" s="262">
        <v>78.2</v>
      </c>
      <c r="J361" s="85" t="s">
        <v>1</v>
      </c>
      <c r="K361" s="237">
        <v>125</v>
      </c>
      <c r="L361" s="85" t="s">
        <v>1</v>
      </c>
      <c r="M361" s="237">
        <v>168</v>
      </c>
      <c r="N361" s="85" t="s">
        <v>1</v>
      </c>
      <c r="O361" s="237">
        <v>216</v>
      </c>
      <c r="P361" s="85" t="s">
        <v>1</v>
      </c>
      <c r="Q361" s="237">
        <v>264</v>
      </c>
      <c r="R361" s="85" t="s">
        <v>1</v>
      </c>
      <c r="S361" s="237">
        <v>295</v>
      </c>
      <c r="T361" s="85" t="s">
        <v>1</v>
      </c>
      <c r="U361" s="316">
        <v>367</v>
      </c>
    </row>
    <row r="362" spans="1:21" ht="9" customHeight="1">
      <c r="A362" s="1"/>
      <c r="B362" s="296" t="s">
        <v>3</v>
      </c>
      <c r="C362" s="154" t="s">
        <v>1</v>
      </c>
      <c r="D362" s="146" t="s">
        <v>1</v>
      </c>
      <c r="E362" s="320">
        <v>80.900000000000006</v>
      </c>
      <c r="F362" s="146" t="s">
        <v>1</v>
      </c>
      <c r="G362" s="258">
        <v>119</v>
      </c>
      <c r="H362" s="146" t="s">
        <v>1</v>
      </c>
      <c r="I362" s="258">
        <v>161</v>
      </c>
      <c r="J362" s="146" t="s">
        <v>1</v>
      </c>
      <c r="K362" s="258">
        <v>287</v>
      </c>
      <c r="L362" s="146" t="s">
        <v>1</v>
      </c>
      <c r="M362" s="258">
        <v>380</v>
      </c>
      <c r="N362" s="146" t="s">
        <v>1</v>
      </c>
      <c r="O362" s="258">
        <v>487</v>
      </c>
      <c r="P362" s="146" t="s">
        <v>1</v>
      </c>
      <c r="Q362" s="258">
        <v>650</v>
      </c>
      <c r="R362" s="146" t="s">
        <v>1</v>
      </c>
      <c r="S362" s="258">
        <v>792</v>
      </c>
      <c r="T362" s="146" t="s">
        <v>1</v>
      </c>
      <c r="U362" s="310">
        <v>926</v>
      </c>
    </row>
    <row r="363" spans="1:21" ht="9.3000000000000007" customHeight="1">
      <c r="A363" s="1"/>
      <c r="B363" s="296" t="s">
        <v>5</v>
      </c>
      <c r="C363" s="154" t="s">
        <v>1</v>
      </c>
      <c r="D363" s="146" t="s">
        <v>1</v>
      </c>
      <c r="E363" s="320">
        <v>85.4</v>
      </c>
      <c r="F363" s="146" t="s">
        <v>1</v>
      </c>
      <c r="G363" s="258">
        <v>141</v>
      </c>
      <c r="H363" s="146" t="s">
        <v>1</v>
      </c>
      <c r="I363" s="258">
        <v>214</v>
      </c>
      <c r="J363" s="146" t="s">
        <v>1</v>
      </c>
      <c r="K363" s="258">
        <v>316</v>
      </c>
      <c r="L363" s="146" t="s">
        <v>1</v>
      </c>
      <c r="M363" s="258">
        <v>367</v>
      </c>
      <c r="N363" s="146" t="s">
        <v>1</v>
      </c>
      <c r="O363" s="258">
        <v>428</v>
      </c>
      <c r="P363" s="146" t="s">
        <v>1</v>
      </c>
      <c r="Q363" s="258">
        <v>481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8" customHeight="1">
      <c r="A364" s="1"/>
      <c r="B364" s="296" t="s">
        <v>7</v>
      </c>
      <c r="C364" s="155" t="s">
        <v>1</v>
      </c>
      <c r="D364" s="149" t="s">
        <v>1</v>
      </c>
      <c r="E364" s="259">
        <v>122</v>
      </c>
      <c r="F364" s="149" t="s">
        <v>1</v>
      </c>
      <c r="G364" s="259">
        <v>193</v>
      </c>
      <c r="H364" s="149" t="s">
        <v>1</v>
      </c>
      <c r="I364" s="259">
        <v>287</v>
      </c>
      <c r="J364" s="149" t="s">
        <v>1</v>
      </c>
      <c r="K364" s="259">
        <v>462</v>
      </c>
      <c r="L364" s="149" t="s">
        <v>1</v>
      </c>
      <c r="M364" s="259">
        <v>560</v>
      </c>
      <c r="N364" s="149" t="s">
        <v>1</v>
      </c>
      <c r="O364" s="259">
        <v>677</v>
      </c>
      <c r="P364" s="149" t="s">
        <v>1</v>
      </c>
      <c r="Q364" s="259">
        <v>842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5" customHeight="1">
      <c r="A365" s="58">
        <v>90</v>
      </c>
      <c r="B365" s="329" t="s">
        <v>2</v>
      </c>
      <c r="C365" s="153" t="s">
        <v>1</v>
      </c>
      <c r="D365" s="85" t="s">
        <v>1</v>
      </c>
      <c r="E365" s="262">
        <v>38.4</v>
      </c>
      <c r="F365" s="85" t="s">
        <v>1</v>
      </c>
      <c r="G365" s="262">
        <v>56.9</v>
      </c>
      <c r="H365" s="85" t="s">
        <v>1</v>
      </c>
      <c r="I365" s="262">
        <v>72.599999999999994</v>
      </c>
      <c r="J365" s="85" t="s">
        <v>1</v>
      </c>
      <c r="K365" s="237">
        <v>115</v>
      </c>
      <c r="L365" s="85" t="s">
        <v>1</v>
      </c>
      <c r="M365" s="237">
        <v>156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1"/>
      <c r="B366" s="296" t="s">
        <v>3</v>
      </c>
      <c r="C366" s="154" t="s">
        <v>1</v>
      </c>
      <c r="D366" s="146" t="s">
        <v>1</v>
      </c>
      <c r="E366" s="320">
        <v>75.3</v>
      </c>
      <c r="F366" s="146" t="s">
        <v>1</v>
      </c>
      <c r="G366" s="258">
        <v>111</v>
      </c>
      <c r="H366" s="146" t="s">
        <v>1</v>
      </c>
      <c r="I366" s="258">
        <v>148</v>
      </c>
      <c r="J366" s="146" t="s">
        <v>1</v>
      </c>
      <c r="K366" s="258">
        <v>261</v>
      </c>
      <c r="L366" s="146" t="s">
        <v>1</v>
      </c>
      <c r="M366" s="258">
        <v>349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1"/>
      <c r="B367" s="296" t="s">
        <v>5</v>
      </c>
      <c r="C367" s="154" t="s">
        <v>1</v>
      </c>
      <c r="D367" s="146" t="s">
        <v>1</v>
      </c>
      <c r="E367" s="320">
        <v>77.8</v>
      </c>
      <c r="F367" s="146" t="s">
        <v>1</v>
      </c>
      <c r="G367" s="258">
        <v>128</v>
      </c>
      <c r="H367" s="146" t="s">
        <v>1</v>
      </c>
      <c r="I367" s="258">
        <v>191</v>
      </c>
      <c r="J367" s="146" t="s">
        <v>1</v>
      </c>
      <c r="K367" s="258">
        <v>293</v>
      </c>
      <c r="L367" s="146" t="s">
        <v>1</v>
      </c>
      <c r="M367" s="258">
        <v>342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8" customHeight="1">
      <c r="A368" s="392"/>
      <c r="B368" s="387" t="s">
        <v>7</v>
      </c>
      <c r="C368" s="378" t="s">
        <v>1</v>
      </c>
      <c r="D368" s="379" t="s">
        <v>1</v>
      </c>
      <c r="E368" s="371">
        <v>112</v>
      </c>
      <c r="F368" s="379" t="s">
        <v>1</v>
      </c>
      <c r="G368" s="371">
        <v>177</v>
      </c>
      <c r="H368" s="379" t="s">
        <v>1</v>
      </c>
      <c r="I368" s="371">
        <v>258</v>
      </c>
      <c r="J368" s="379" t="s">
        <v>1</v>
      </c>
      <c r="K368" s="371">
        <v>424</v>
      </c>
      <c r="L368" s="379" t="s">
        <v>1</v>
      </c>
      <c r="M368" s="371">
        <v>518</v>
      </c>
      <c r="N368" s="379" t="s">
        <v>1</v>
      </c>
      <c r="O368" s="379" t="s">
        <v>1</v>
      </c>
      <c r="P368" s="379" t="s">
        <v>1</v>
      </c>
      <c r="Q368" s="379" t="s">
        <v>1</v>
      </c>
      <c r="R368" s="379" t="s">
        <v>1</v>
      </c>
      <c r="S368" s="379" t="s">
        <v>1</v>
      </c>
      <c r="T368" s="379" t="s">
        <v>1</v>
      </c>
      <c r="U368" s="380" t="s">
        <v>1</v>
      </c>
    </row>
    <row r="374" spans="1:23" ht="44.55" customHeight="1">
      <c r="A374" s="449" t="s">
        <v>467</v>
      </c>
      <c r="B374" s="449"/>
      <c r="C374" s="449"/>
      <c r="D374" s="449"/>
      <c r="E374" s="449"/>
      <c r="F374" s="449"/>
      <c r="G374" s="449"/>
      <c r="H374" s="449"/>
      <c r="I374" s="449"/>
      <c r="J374" s="449"/>
      <c r="K374" s="449"/>
      <c r="L374" s="449"/>
      <c r="M374" s="449"/>
      <c r="N374" s="449"/>
      <c r="O374" s="449"/>
      <c r="P374" s="449"/>
      <c r="Q374" s="449"/>
      <c r="R374" s="449"/>
      <c r="S374" s="449"/>
      <c r="T374" s="449"/>
      <c r="U374" s="449"/>
      <c r="V374" s="449"/>
      <c r="W374" s="449"/>
    </row>
    <row r="375" spans="1:23" ht="12.3" customHeight="1">
      <c r="A375" s="488" t="s">
        <v>69</v>
      </c>
      <c r="B375" s="488"/>
      <c r="C375" s="487" t="s">
        <v>14</v>
      </c>
      <c r="D375" s="487"/>
      <c r="E375" s="487"/>
      <c r="F375" s="487"/>
      <c r="G375" s="487"/>
      <c r="H375" s="487"/>
      <c r="I375" s="487"/>
      <c r="J375" s="487"/>
      <c r="K375" s="487"/>
      <c r="L375" s="487"/>
      <c r="M375" s="487"/>
      <c r="N375" s="487"/>
      <c r="O375" s="487"/>
      <c r="P375" s="487"/>
      <c r="Q375" s="487"/>
      <c r="R375" s="487"/>
      <c r="S375" s="487"/>
      <c r="T375" s="487"/>
      <c r="U375" s="487"/>
    </row>
    <row r="376" spans="1:23" ht="9" customHeight="1">
      <c r="A376" s="489"/>
      <c r="B376" s="489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3" ht="10.5" customHeight="1">
      <c r="A377" s="58" t="s">
        <v>554</v>
      </c>
      <c r="B377" s="329" t="s">
        <v>2</v>
      </c>
      <c r="C377" s="262">
        <v>47.1</v>
      </c>
      <c r="D377" s="262">
        <v>60.6</v>
      </c>
      <c r="E377" s="85" t="s">
        <v>1</v>
      </c>
      <c r="F377" s="262">
        <v>83.5</v>
      </c>
      <c r="G377" s="85" t="s">
        <v>1</v>
      </c>
      <c r="H377" s="262">
        <v>97.1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3" ht="9" customHeight="1">
      <c r="A378" s="1"/>
      <c r="B378" s="296" t="s">
        <v>3</v>
      </c>
      <c r="C378" s="258">
        <v>117</v>
      </c>
      <c r="D378" s="258">
        <v>166</v>
      </c>
      <c r="E378" s="146" t="s">
        <v>1</v>
      </c>
      <c r="F378" s="258">
        <v>248</v>
      </c>
      <c r="G378" s="146" t="s">
        <v>1</v>
      </c>
      <c r="H378" s="258">
        <v>334</v>
      </c>
      <c r="I378" s="146" t="s">
        <v>1</v>
      </c>
      <c r="J378" s="258">
        <v>522</v>
      </c>
      <c r="K378" s="146" t="s">
        <v>1</v>
      </c>
      <c r="L378" s="258">
        <v>637</v>
      </c>
      <c r="M378" s="146" t="s">
        <v>1</v>
      </c>
      <c r="N378" s="258">
        <v>706</v>
      </c>
      <c r="O378" s="146" t="s">
        <v>1</v>
      </c>
      <c r="P378" s="258">
        <v>776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3" ht="9.3000000000000007" customHeight="1">
      <c r="A379" s="1"/>
      <c r="B379" s="296" t="s">
        <v>5</v>
      </c>
      <c r="C379" s="258">
        <v>128</v>
      </c>
      <c r="D379" s="258">
        <v>215</v>
      </c>
      <c r="E379" s="146" t="s">
        <v>1</v>
      </c>
      <c r="F379" s="258">
        <v>268</v>
      </c>
      <c r="G379" s="146" t="s">
        <v>1</v>
      </c>
      <c r="H379" s="258">
        <v>449</v>
      </c>
      <c r="I379" s="146" t="s">
        <v>1</v>
      </c>
      <c r="J379" s="258">
        <v>499</v>
      </c>
      <c r="K379" s="146" t="s">
        <v>1</v>
      </c>
      <c r="L379" s="258">
        <v>498</v>
      </c>
      <c r="M379" s="146" t="s">
        <v>1</v>
      </c>
      <c r="N379" s="258">
        <v>407</v>
      </c>
      <c r="O379" s="146" t="s">
        <v>1</v>
      </c>
      <c r="P379" s="258">
        <v>148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3" ht="10.8" customHeight="1">
      <c r="A380" s="45"/>
      <c r="B380" s="297" t="s">
        <v>7</v>
      </c>
      <c r="C380" s="259">
        <v>191</v>
      </c>
      <c r="D380" s="259">
        <v>307</v>
      </c>
      <c r="E380" s="149" t="s">
        <v>1</v>
      </c>
      <c r="F380" s="259">
        <v>414</v>
      </c>
      <c r="G380" s="149" t="s">
        <v>1</v>
      </c>
      <c r="H380" s="259">
        <v>651</v>
      </c>
      <c r="I380" s="149" t="s">
        <v>1</v>
      </c>
      <c r="J380" s="259">
        <v>873</v>
      </c>
      <c r="K380" s="149" t="s">
        <v>1</v>
      </c>
      <c r="L380" s="259">
        <v>1004</v>
      </c>
      <c r="M380" s="149" t="s">
        <v>1</v>
      </c>
      <c r="N380" s="259">
        <v>1128</v>
      </c>
      <c r="O380" s="149" t="s">
        <v>1</v>
      </c>
      <c r="P380" s="259">
        <v>1211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3" ht="10.199999999999999" customHeight="1">
      <c r="A381" s="58">
        <v>14</v>
      </c>
      <c r="B381" s="329" t="s">
        <v>2</v>
      </c>
      <c r="C381" s="262">
        <v>45.8</v>
      </c>
      <c r="D381" s="262">
        <v>59</v>
      </c>
      <c r="E381" s="85" t="s">
        <v>1</v>
      </c>
      <c r="F381" s="262">
        <v>81.8</v>
      </c>
      <c r="G381" s="85" t="s">
        <v>1</v>
      </c>
      <c r="H381" s="262">
        <v>96.3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331"/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3" ht="9.3000000000000007" customHeight="1">
      <c r="A382" s="1"/>
      <c r="B382" s="296" t="s">
        <v>3</v>
      </c>
      <c r="C382" s="258">
        <v>114</v>
      </c>
      <c r="D382" s="258">
        <v>161</v>
      </c>
      <c r="E382" s="146" t="s">
        <v>1</v>
      </c>
      <c r="F382" s="258">
        <v>240</v>
      </c>
      <c r="G382" s="146" t="s">
        <v>1</v>
      </c>
      <c r="H382" s="258">
        <v>326</v>
      </c>
      <c r="I382" s="146" t="s">
        <v>1</v>
      </c>
      <c r="J382" s="258">
        <v>511</v>
      </c>
      <c r="K382" s="146" t="s">
        <v>1</v>
      </c>
      <c r="L382" s="258">
        <v>642</v>
      </c>
      <c r="M382" s="146" t="s">
        <v>1</v>
      </c>
      <c r="N382" s="258">
        <v>697</v>
      </c>
      <c r="O382" s="258">
        <v>741</v>
      </c>
      <c r="P382" s="258">
        <v>755</v>
      </c>
      <c r="Q382" s="258">
        <v>838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3" ht="9.3000000000000007" customHeight="1">
      <c r="A383" s="1"/>
      <c r="B383" s="296" t="s">
        <v>5</v>
      </c>
      <c r="C383" s="258">
        <v>124</v>
      </c>
      <c r="D383" s="258">
        <v>208</v>
      </c>
      <c r="E383" s="146" t="s">
        <v>1</v>
      </c>
      <c r="F383" s="258">
        <v>260</v>
      </c>
      <c r="G383" s="146" t="s">
        <v>1</v>
      </c>
      <c r="H383" s="258">
        <v>438</v>
      </c>
      <c r="I383" s="146" t="s">
        <v>1</v>
      </c>
      <c r="J383" s="258">
        <v>488</v>
      </c>
      <c r="K383" s="146" t="s">
        <v>1</v>
      </c>
      <c r="L383" s="258">
        <v>503</v>
      </c>
      <c r="M383" s="146" t="s">
        <v>1</v>
      </c>
      <c r="N383" s="258">
        <v>407</v>
      </c>
      <c r="O383" s="258">
        <v>424</v>
      </c>
      <c r="P383" s="258">
        <v>156</v>
      </c>
      <c r="Q383" s="258">
        <v>178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3" ht="10.8" customHeight="1">
      <c r="A384" s="45"/>
      <c r="B384" s="297" t="s">
        <v>7</v>
      </c>
      <c r="C384" s="259">
        <v>185</v>
      </c>
      <c r="D384" s="259">
        <v>298</v>
      </c>
      <c r="E384" s="149" t="s">
        <v>1</v>
      </c>
      <c r="F384" s="259">
        <v>401</v>
      </c>
      <c r="G384" s="149" t="s">
        <v>1</v>
      </c>
      <c r="H384" s="259">
        <v>634</v>
      </c>
      <c r="I384" s="149" t="s">
        <v>1</v>
      </c>
      <c r="J384" s="259">
        <v>852</v>
      </c>
      <c r="K384" s="149" t="s">
        <v>1</v>
      </c>
      <c r="L384" s="259">
        <v>1008</v>
      </c>
      <c r="M384" s="149" t="s">
        <v>1</v>
      </c>
      <c r="N384" s="259">
        <v>1105</v>
      </c>
      <c r="O384" s="259">
        <v>1162</v>
      </c>
      <c r="P384" s="259">
        <v>1169</v>
      </c>
      <c r="Q384" s="259">
        <v>1287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58">
        <v>16</v>
      </c>
      <c r="B385" s="329" t="s">
        <v>2</v>
      </c>
      <c r="C385" s="262">
        <v>44.7</v>
      </c>
      <c r="D385" s="262">
        <v>59.1</v>
      </c>
      <c r="E385" s="262">
        <v>67.3</v>
      </c>
      <c r="F385" s="262">
        <v>81.099999999999994</v>
      </c>
      <c r="G385" s="262">
        <v>95.6</v>
      </c>
      <c r="H385" s="262">
        <v>99.3</v>
      </c>
      <c r="I385" s="237">
        <v>110</v>
      </c>
      <c r="J385" s="237">
        <v>112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1"/>
      <c r="B386" s="296" t="s">
        <v>3</v>
      </c>
      <c r="C386" s="258">
        <v>110</v>
      </c>
      <c r="D386" s="258">
        <v>157</v>
      </c>
      <c r="E386" s="258">
        <v>176</v>
      </c>
      <c r="F386" s="258">
        <v>231</v>
      </c>
      <c r="G386" s="258">
        <v>262</v>
      </c>
      <c r="H386" s="258">
        <v>320</v>
      </c>
      <c r="I386" s="258">
        <v>351</v>
      </c>
      <c r="J386" s="258">
        <v>506</v>
      </c>
      <c r="K386" s="258">
        <v>565</v>
      </c>
      <c r="L386" s="258">
        <v>633</v>
      </c>
      <c r="M386" s="258">
        <v>683</v>
      </c>
      <c r="N386" s="258">
        <v>747</v>
      </c>
      <c r="O386" s="258">
        <v>731</v>
      </c>
      <c r="P386" s="258">
        <v>883</v>
      </c>
      <c r="Q386" s="258">
        <v>788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1"/>
      <c r="B387" s="296" t="s">
        <v>5</v>
      </c>
      <c r="C387" s="304">
        <v>119</v>
      </c>
      <c r="D387" s="258">
        <v>203</v>
      </c>
      <c r="E387" s="258">
        <v>218</v>
      </c>
      <c r="F387" s="258">
        <v>249</v>
      </c>
      <c r="G387" s="258">
        <v>275</v>
      </c>
      <c r="H387" s="258">
        <v>428</v>
      </c>
      <c r="I387" s="258">
        <v>460</v>
      </c>
      <c r="J387" s="258">
        <v>485</v>
      </c>
      <c r="K387" s="258">
        <v>523</v>
      </c>
      <c r="L387" s="258">
        <v>509</v>
      </c>
      <c r="M387" s="258">
        <v>530</v>
      </c>
      <c r="N387" s="258">
        <v>476</v>
      </c>
      <c r="O387" s="258">
        <v>422</v>
      </c>
      <c r="P387" s="258">
        <v>300</v>
      </c>
      <c r="Q387" s="258">
        <v>183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45"/>
      <c r="B388" s="297" t="s">
        <v>7</v>
      </c>
      <c r="C388" s="307">
        <v>177</v>
      </c>
      <c r="D388" s="259">
        <v>289</v>
      </c>
      <c r="E388" s="259">
        <v>314</v>
      </c>
      <c r="F388" s="259">
        <v>382</v>
      </c>
      <c r="G388" s="259">
        <v>425</v>
      </c>
      <c r="H388" s="259">
        <v>616</v>
      </c>
      <c r="I388" s="259">
        <v>666</v>
      </c>
      <c r="J388" s="259">
        <v>829</v>
      </c>
      <c r="K388" s="259">
        <v>914</v>
      </c>
      <c r="L388" s="259">
        <v>966</v>
      </c>
      <c r="M388" s="259">
        <v>1052</v>
      </c>
      <c r="N388" s="259">
        <v>1131</v>
      </c>
      <c r="O388" s="259">
        <v>1136</v>
      </c>
      <c r="P388" s="259">
        <v>1273</v>
      </c>
      <c r="Q388" s="259">
        <v>1198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58">
        <v>18</v>
      </c>
      <c r="B389" s="329" t="s">
        <v>2</v>
      </c>
      <c r="C389" s="318">
        <v>43.5</v>
      </c>
      <c r="D389" s="262">
        <v>57.5</v>
      </c>
      <c r="E389" s="262">
        <v>65.599999999999994</v>
      </c>
      <c r="F389" s="262">
        <v>79</v>
      </c>
      <c r="G389" s="262">
        <v>93.7</v>
      </c>
      <c r="H389" s="262">
        <v>97.9</v>
      </c>
      <c r="I389" s="237">
        <v>104</v>
      </c>
      <c r="J389" s="237">
        <v>112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1"/>
      <c r="B390" s="296" t="s">
        <v>3</v>
      </c>
      <c r="C390" s="304">
        <v>107</v>
      </c>
      <c r="D390" s="258">
        <v>152</v>
      </c>
      <c r="E390" s="258">
        <v>171</v>
      </c>
      <c r="F390" s="258">
        <v>223</v>
      </c>
      <c r="G390" s="258">
        <v>255</v>
      </c>
      <c r="H390" s="258">
        <v>312</v>
      </c>
      <c r="I390" s="258">
        <v>329</v>
      </c>
      <c r="J390" s="258">
        <v>495</v>
      </c>
      <c r="K390" s="258">
        <v>564</v>
      </c>
      <c r="L390" s="258">
        <v>637</v>
      </c>
      <c r="M390" s="258">
        <v>687</v>
      </c>
      <c r="N390" s="258">
        <v>734</v>
      </c>
      <c r="O390" s="258">
        <v>782</v>
      </c>
      <c r="P390" s="258">
        <v>851</v>
      </c>
      <c r="Q390" s="258">
        <v>948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1"/>
      <c r="B391" s="296" t="s">
        <v>5</v>
      </c>
      <c r="C391" s="304">
        <v>115</v>
      </c>
      <c r="D391" s="258">
        <v>197</v>
      </c>
      <c r="E391" s="258">
        <v>212</v>
      </c>
      <c r="F391" s="258">
        <v>241</v>
      </c>
      <c r="G391" s="258">
        <v>268</v>
      </c>
      <c r="H391" s="258">
        <v>417</v>
      </c>
      <c r="I391" s="258">
        <v>430</v>
      </c>
      <c r="J391" s="258">
        <v>474</v>
      </c>
      <c r="K391" s="258">
        <v>524</v>
      </c>
      <c r="L391" s="258">
        <v>511</v>
      </c>
      <c r="M391" s="258">
        <v>534</v>
      </c>
      <c r="N391" s="258">
        <v>469</v>
      </c>
      <c r="O391" s="258">
        <v>493</v>
      </c>
      <c r="P391" s="258">
        <v>297</v>
      </c>
      <c r="Q391" s="258">
        <v>343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45"/>
      <c r="B392" s="297" t="s">
        <v>7</v>
      </c>
      <c r="C392" s="307">
        <v>172</v>
      </c>
      <c r="D392" s="259">
        <v>280</v>
      </c>
      <c r="E392" s="259">
        <v>304</v>
      </c>
      <c r="F392" s="259">
        <v>369</v>
      </c>
      <c r="G392" s="259">
        <v>413</v>
      </c>
      <c r="H392" s="259">
        <v>601</v>
      </c>
      <c r="I392" s="259">
        <v>622</v>
      </c>
      <c r="J392" s="259">
        <v>809</v>
      </c>
      <c r="K392" s="259">
        <v>913</v>
      </c>
      <c r="L392" s="259">
        <v>970</v>
      </c>
      <c r="M392" s="259">
        <v>1056</v>
      </c>
      <c r="N392" s="259">
        <v>1104</v>
      </c>
      <c r="O392" s="259">
        <v>1164</v>
      </c>
      <c r="P392" s="259">
        <v>1224</v>
      </c>
      <c r="Q392" s="259">
        <v>1349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58">
        <v>20</v>
      </c>
      <c r="B393" s="329" t="s">
        <v>2</v>
      </c>
      <c r="C393" s="318">
        <v>41</v>
      </c>
      <c r="D393" s="262">
        <v>55.6</v>
      </c>
      <c r="E393" s="262">
        <v>65.400000000000006</v>
      </c>
      <c r="F393" s="262">
        <v>76.8</v>
      </c>
      <c r="G393" s="262">
        <v>91.7</v>
      </c>
      <c r="H393" s="262">
        <v>96.1</v>
      </c>
      <c r="I393" s="237">
        <v>111</v>
      </c>
      <c r="J393" s="237">
        <v>114</v>
      </c>
      <c r="K393" s="237">
        <v>138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1"/>
      <c r="B394" s="296" t="s">
        <v>3</v>
      </c>
      <c r="C394" s="304">
        <v>100</v>
      </c>
      <c r="D394" s="258">
        <v>147</v>
      </c>
      <c r="E394" s="258">
        <v>166</v>
      </c>
      <c r="F394" s="258">
        <v>215</v>
      </c>
      <c r="G394" s="258">
        <v>243</v>
      </c>
      <c r="H394" s="258">
        <v>301</v>
      </c>
      <c r="I394" s="258">
        <v>335</v>
      </c>
      <c r="J394" s="258">
        <v>480</v>
      </c>
      <c r="K394" s="258">
        <v>545</v>
      </c>
      <c r="L394" s="258">
        <v>611</v>
      </c>
      <c r="M394" s="258">
        <v>674</v>
      </c>
      <c r="N394" s="258">
        <v>730</v>
      </c>
      <c r="O394" s="258">
        <v>763</v>
      </c>
      <c r="P394" s="258">
        <v>854</v>
      </c>
      <c r="Q394" s="258">
        <v>880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1"/>
      <c r="B395" s="296" t="s">
        <v>5</v>
      </c>
      <c r="C395" s="304">
        <v>109</v>
      </c>
      <c r="D395" s="258">
        <v>189</v>
      </c>
      <c r="E395" s="258">
        <v>206</v>
      </c>
      <c r="F395" s="258">
        <v>232</v>
      </c>
      <c r="G395" s="258">
        <v>255</v>
      </c>
      <c r="H395" s="258">
        <v>401</v>
      </c>
      <c r="I395" s="258">
        <v>437</v>
      </c>
      <c r="J395" s="258">
        <v>460</v>
      </c>
      <c r="K395" s="258">
        <v>508</v>
      </c>
      <c r="L395" s="258">
        <v>494</v>
      </c>
      <c r="M395" s="258">
        <v>537</v>
      </c>
      <c r="N395" s="258">
        <v>483</v>
      </c>
      <c r="O395" s="258">
        <v>485</v>
      </c>
      <c r="P395" s="258">
        <v>320</v>
      </c>
      <c r="Q395" s="258">
        <v>326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45"/>
      <c r="B396" s="297" t="s">
        <v>7</v>
      </c>
      <c r="C396" s="307">
        <v>161</v>
      </c>
      <c r="D396" s="259">
        <v>268</v>
      </c>
      <c r="E396" s="259">
        <v>295</v>
      </c>
      <c r="F396" s="259">
        <v>354</v>
      </c>
      <c r="G396" s="259">
        <v>391</v>
      </c>
      <c r="H396" s="259">
        <v>577</v>
      </c>
      <c r="I396" s="259">
        <v>630</v>
      </c>
      <c r="J396" s="259">
        <v>780</v>
      </c>
      <c r="K396" s="259">
        <v>868</v>
      </c>
      <c r="L396" s="259">
        <v>925</v>
      </c>
      <c r="M396" s="259">
        <v>1010</v>
      </c>
      <c r="N396" s="259">
        <v>1083</v>
      </c>
      <c r="O396" s="259">
        <v>1133</v>
      </c>
      <c r="P396" s="259">
        <v>1211</v>
      </c>
      <c r="Q396" s="259">
        <v>1250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58" t="s">
        <v>553</v>
      </c>
      <c r="B397" s="329" t="s">
        <v>2</v>
      </c>
      <c r="C397" s="318">
        <v>40.6</v>
      </c>
      <c r="D397" s="262">
        <v>55.5</v>
      </c>
      <c r="E397" s="262">
        <v>63.6</v>
      </c>
      <c r="F397" s="262">
        <v>75.8</v>
      </c>
      <c r="G397" s="262">
        <v>89.6</v>
      </c>
      <c r="H397" s="262">
        <v>95.5</v>
      </c>
      <c r="I397" s="237">
        <v>104</v>
      </c>
      <c r="J397" s="237">
        <v>120</v>
      </c>
      <c r="K397" s="237">
        <v>139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1"/>
      <c r="B398" s="296" t="s">
        <v>3</v>
      </c>
      <c r="C398" s="304">
        <v>98</v>
      </c>
      <c r="D398" s="258">
        <v>145</v>
      </c>
      <c r="E398" s="258">
        <v>162</v>
      </c>
      <c r="F398" s="258">
        <v>208</v>
      </c>
      <c r="G398" s="258">
        <v>237</v>
      </c>
      <c r="H398" s="258">
        <v>292</v>
      </c>
      <c r="I398" s="258">
        <v>313</v>
      </c>
      <c r="J398" s="258">
        <v>462</v>
      </c>
      <c r="K398" s="258">
        <v>544</v>
      </c>
      <c r="L398" s="258">
        <v>596</v>
      </c>
      <c r="M398" s="258">
        <v>677</v>
      </c>
      <c r="N398" s="258">
        <v>743</v>
      </c>
      <c r="O398" s="258">
        <v>759</v>
      </c>
      <c r="P398" s="258">
        <v>890</v>
      </c>
      <c r="Q398" s="258">
        <v>885</v>
      </c>
      <c r="R398" s="258">
        <v>780</v>
      </c>
      <c r="S398" s="258">
        <v>763</v>
      </c>
      <c r="T398" s="258">
        <v>865</v>
      </c>
      <c r="U398" s="310">
        <v>825</v>
      </c>
    </row>
    <row r="399" spans="1:21" ht="9.3000000000000007" customHeight="1">
      <c r="A399" s="1"/>
      <c r="B399" s="296" t="s">
        <v>5</v>
      </c>
      <c r="C399" s="304">
        <v>106</v>
      </c>
      <c r="D399" s="258">
        <v>189</v>
      </c>
      <c r="E399" s="258">
        <v>200</v>
      </c>
      <c r="F399" s="258">
        <v>224</v>
      </c>
      <c r="G399" s="258">
        <v>248</v>
      </c>
      <c r="H399" s="258">
        <v>390</v>
      </c>
      <c r="I399" s="258">
        <v>408</v>
      </c>
      <c r="J399" s="258">
        <v>448</v>
      </c>
      <c r="K399" s="258">
        <v>507</v>
      </c>
      <c r="L399" s="258">
        <v>489</v>
      </c>
      <c r="M399" s="258">
        <v>540</v>
      </c>
      <c r="N399" s="258">
        <v>512</v>
      </c>
      <c r="O399" s="258">
        <v>497</v>
      </c>
      <c r="P399" s="258">
        <v>397</v>
      </c>
      <c r="Q399" s="258">
        <v>348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45"/>
      <c r="B400" s="297" t="s">
        <v>7</v>
      </c>
      <c r="C400" s="307">
        <v>157</v>
      </c>
      <c r="D400" s="259">
        <v>267</v>
      </c>
      <c r="E400" s="259">
        <v>286</v>
      </c>
      <c r="F400" s="259">
        <v>341</v>
      </c>
      <c r="G400" s="259">
        <v>380</v>
      </c>
      <c r="H400" s="259">
        <v>559</v>
      </c>
      <c r="I400" s="259">
        <v>588</v>
      </c>
      <c r="J400" s="259">
        <v>749</v>
      </c>
      <c r="K400" s="259">
        <v>866</v>
      </c>
      <c r="L400" s="259">
        <v>891</v>
      </c>
      <c r="M400" s="259">
        <v>1014</v>
      </c>
      <c r="N400" s="259">
        <v>1080</v>
      </c>
      <c r="O400" s="259">
        <v>1110</v>
      </c>
      <c r="P400" s="259">
        <v>1226</v>
      </c>
      <c r="Q400" s="259">
        <v>1234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58">
        <v>25</v>
      </c>
      <c r="B401" s="329" t="s">
        <v>2</v>
      </c>
      <c r="C401" s="318">
        <v>39.299999999999997</v>
      </c>
      <c r="D401" s="262">
        <v>54</v>
      </c>
      <c r="E401" s="262">
        <v>61.8</v>
      </c>
      <c r="F401" s="262">
        <v>76.099999999999994</v>
      </c>
      <c r="G401" s="262">
        <v>86.8</v>
      </c>
      <c r="H401" s="262">
        <v>96.9</v>
      </c>
      <c r="I401" s="237">
        <v>102</v>
      </c>
      <c r="J401" s="237">
        <v>126</v>
      </c>
      <c r="K401" s="237">
        <v>142</v>
      </c>
      <c r="L401" s="237">
        <v>158</v>
      </c>
      <c r="M401" s="237">
        <v>158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1"/>
      <c r="B402" s="296" t="s">
        <v>3</v>
      </c>
      <c r="C402" s="319">
        <v>92.7</v>
      </c>
      <c r="D402" s="258">
        <v>138</v>
      </c>
      <c r="E402" s="258">
        <v>156</v>
      </c>
      <c r="F402" s="258">
        <v>201</v>
      </c>
      <c r="G402" s="258">
        <v>227</v>
      </c>
      <c r="H402" s="258">
        <v>280</v>
      </c>
      <c r="I402" s="258">
        <v>302</v>
      </c>
      <c r="J402" s="258">
        <v>441</v>
      </c>
      <c r="K402" s="258">
        <v>528</v>
      </c>
      <c r="L402" s="258">
        <v>575</v>
      </c>
      <c r="M402" s="258">
        <v>651</v>
      </c>
      <c r="N402" s="258">
        <v>720</v>
      </c>
      <c r="O402" s="258">
        <v>770</v>
      </c>
      <c r="P402" s="258">
        <v>882</v>
      </c>
      <c r="Q402" s="258">
        <v>915</v>
      </c>
      <c r="R402" s="258">
        <v>873</v>
      </c>
      <c r="S402" s="258">
        <v>844</v>
      </c>
      <c r="T402" s="258">
        <v>975</v>
      </c>
      <c r="U402" s="310">
        <v>930</v>
      </c>
    </row>
    <row r="403" spans="1:21" ht="9.3000000000000007" customHeight="1">
      <c r="A403" s="1"/>
      <c r="B403" s="296" t="s">
        <v>5</v>
      </c>
      <c r="C403" s="304">
        <v>100</v>
      </c>
      <c r="D403" s="258">
        <v>179</v>
      </c>
      <c r="E403" s="258">
        <v>192</v>
      </c>
      <c r="F403" s="258">
        <v>218</v>
      </c>
      <c r="G403" s="258">
        <v>239</v>
      </c>
      <c r="H403" s="258">
        <v>375</v>
      </c>
      <c r="I403" s="258">
        <v>393</v>
      </c>
      <c r="J403" s="258">
        <v>432</v>
      </c>
      <c r="K403" s="258">
        <v>492</v>
      </c>
      <c r="L403" s="258">
        <v>482</v>
      </c>
      <c r="M403" s="258">
        <v>522</v>
      </c>
      <c r="N403" s="258">
        <v>515</v>
      </c>
      <c r="O403" s="258">
        <v>525</v>
      </c>
      <c r="P403" s="258">
        <v>454</v>
      </c>
      <c r="Q403" s="258">
        <v>423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45"/>
      <c r="B404" s="297" t="s">
        <v>7</v>
      </c>
      <c r="C404" s="307">
        <v>148</v>
      </c>
      <c r="D404" s="259">
        <v>252</v>
      </c>
      <c r="E404" s="259">
        <v>274</v>
      </c>
      <c r="F404" s="259">
        <v>330</v>
      </c>
      <c r="G404" s="259">
        <v>364</v>
      </c>
      <c r="H404" s="259">
        <v>533</v>
      </c>
      <c r="I404" s="259">
        <v>564</v>
      </c>
      <c r="J404" s="259">
        <v>712</v>
      </c>
      <c r="K404" s="259">
        <v>833</v>
      </c>
      <c r="L404" s="259">
        <v>852</v>
      </c>
      <c r="M404" s="259">
        <v>965</v>
      </c>
      <c r="N404" s="259">
        <v>1039</v>
      </c>
      <c r="O404" s="259">
        <v>1108</v>
      </c>
      <c r="P404" s="259">
        <v>1196</v>
      </c>
      <c r="Q404" s="259">
        <v>1248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58">
        <v>28</v>
      </c>
      <c r="B405" s="329" t="s">
        <v>2</v>
      </c>
      <c r="C405" s="318">
        <v>38.4</v>
      </c>
      <c r="D405" s="262">
        <v>53.3</v>
      </c>
      <c r="E405" s="262">
        <v>61.6</v>
      </c>
      <c r="F405" s="262">
        <v>74.400000000000006</v>
      </c>
      <c r="G405" s="262">
        <v>85.3</v>
      </c>
      <c r="H405" s="262">
        <v>95.9</v>
      </c>
      <c r="I405" s="237">
        <v>101</v>
      </c>
      <c r="J405" s="237">
        <v>126</v>
      </c>
      <c r="K405" s="237">
        <v>146</v>
      </c>
      <c r="L405" s="237">
        <v>162</v>
      </c>
      <c r="M405" s="237">
        <v>170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1"/>
      <c r="B406" s="296" t="s">
        <v>3</v>
      </c>
      <c r="C406" s="319">
        <v>89.1</v>
      </c>
      <c r="D406" s="258">
        <v>134</v>
      </c>
      <c r="E406" s="258">
        <v>154</v>
      </c>
      <c r="F406" s="258">
        <v>191</v>
      </c>
      <c r="G406" s="258">
        <v>220</v>
      </c>
      <c r="H406" s="258">
        <v>268</v>
      </c>
      <c r="I406" s="258">
        <v>293</v>
      </c>
      <c r="J406" s="258">
        <v>422</v>
      </c>
      <c r="K406" s="258">
        <v>507</v>
      </c>
      <c r="L406" s="258">
        <v>551</v>
      </c>
      <c r="M406" s="258">
        <v>632</v>
      </c>
      <c r="N406" s="258">
        <v>718</v>
      </c>
      <c r="O406" s="258">
        <v>746</v>
      </c>
      <c r="P406" s="258">
        <v>887</v>
      </c>
      <c r="Q406" s="258">
        <v>905</v>
      </c>
      <c r="R406" s="258">
        <v>924</v>
      </c>
      <c r="S406" s="258">
        <v>927</v>
      </c>
      <c r="T406" s="258">
        <v>1036</v>
      </c>
      <c r="U406" s="310">
        <v>1027</v>
      </c>
    </row>
    <row r="407" spans="1:21" ht="9.3000000000000007" customHeight="1">
      <c r="A407" s="1"/>
      <c r="B407" s="296" t="s">
        <v>5</v>
      </c>
      <c r="C407" s="319">
        <v>94</v>
      </c>
      <c r="D407" s="258">
        <v>169</v>
      </c>
      <c r="E407" s="258">
        <v>191</v>
      </c>
      <c r="F407" s="258">
        <v>210</v>
      </c>
      <c r="G407" s="258">
        <v>231</v>
      </c>
      <c r="H407" s="258">
        <v>361</v>
      </c>
      <c r="I407" s="258">
        <v>382</v>
      </c>
      <c r="J407" s="258">
        <v>416</v>
      </c>
      <c r="K407" s="258">
        <v>478</v>
      </c>
      <c r="L407" s="258">
        <v>468</v>
      </c>
      <c r="M407" s="258">
        <v>515</v>
      </c>
      <c r="N407" s="258">
        <v>521</v>
      </c>
      <c r="O407" s="258">
        <v>527</v>
      </c>
      <c r="P407" s="258">
        <v>479</v>
      </c>
      <c r="Q407" s="258">
        <v>470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45"/>
      <c r="B408" s="297" t="s">
        <v>7</v>
      </c>
      <c r="C408" s="307">
        <v>140</v>
      </c>
      <c r="D408" s="259">
        <v>240</v>
      </c>
      <c r="E408" s="259">
        <v>272</v>
      </c>
      <c r="F408" s="259">
        <v>314</v>
      </c>
      <c r="G408" s="259">
        <v>351</v>
      </c>
      <c r="H408" s="259">
        <v>509</v>
      </c>
      <c r="I408" s="259">
        <v>547</v>
      </c>
      <c r="J408" s="259">
        <v>680</v>
      </c>
      <c r="K408" s="259">
        <v>799</v>
      </c>
      <c r="L408" s="259">
        <v>815</v>
      </c>
      <c r="M408" s="259">
        <v>930</v>
      </c>
      <c r="N408" s="259">
        <v>1021</v>
      </c>
      <c r="O408" s="259">
        <v>1061</v>
      </c>
      <c r="P408" s="259">
        <v>1193</v>
      </c>
      <c r="Q408" s="259">
        <v>1216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58" t="s">
        <v>556</v>
      </c>
      <c r="B409" s="329" t="s">
        <v>2</v>
      </c>
      <c r="C409" s="318">
        <v>36.700000000000003</v>
      </c>
      <c r="D409" s="262">
        <v>51.5</v>
      </c>
      <c r="E409" s="262">
        <v>59.7</v>
      </c>
      <c r="F409" s="262">
        <v>72.2</v>
      </c>
      <c r="G409" s="262">
        <v>84.9</v>
      </c>
      <c r="H409" s="262">
        <v>94.9</v>
      </c>
      <c r="I409" s="237">
        <v>102</v>
      </c>
      <c r="J409" s="237">
        <v>126</v>
      </c>
      <c r="K409" s="237">
        <v>149</v>
      </c>
      <c r="L409" s="237">
        <v>164</v>
      </c>
      <c r="M409" s="237">
        <v>181</v>
      </c>
      <c r="N409" s="237">
        <v>180</v>
      </c>
      <c r="O409" s="237">
        <v>183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1"/>
      <c r="B410" s="296" t="s">
        <v>3</v>
      </c>
      <c r="C410" s="319">
        <v>84.5</v>
      </c>
      <c r="D410" s="258">
        <v>127</v>
      </c>
      <c r="E410" s="258">
        <v>147</v>
      </c>
      <c r="F410" s="258">
        <v>182</v>
      </c>
      <c r="G410" s="258">
        <v>212</v>
      </c>
      <c r="H410" s="258">
        <v>257</v>
      </c>
      <c r="I410" s="258">
        <v>281</v>
      </c>
      <c r="J410" s="258">
        <v>402</v>
      </c>
      <c r="K410" s="258">
        <v>483</v>
      </c>
      <c r="L410" s="258">
        <v>528</v>
      </c>
      <c r="M410" s="258">
        <v>608</v>
      </c>
      <c r="N410" s="258">
        <v>684</v>
      </c>
      <c r="O410" s="258">
        <v>743</v>
      </c>
      <c r="P410" s="258">
        <v>857</v>
      </c>
      <c r="Q410" s="258">
        <v>910</v>
      </c>
      <c r="R410" s="258">
        <v>937</v>
      </c>
      <c r="S410" s="258">
        <v>966</v>
      </c>
      <c r="T410" s="258">
        <v>1054</v>
      </c>
      <c r="U410" s="310">
        <v>1077</v>
      </c>
    </row>
    <row r="411" spans="1:21" ht="9.3000000000000007" customHeight="1">
      <c r="A411" s="1"/>
      <c r="B411" s="296" t="s">
        <v>5</v>
      </c>
      <c r="C411" s="319">
        <v>87.6</v>
      </c>
      <c r="D411" s="258">
        <v>157</v>
      </c>
      <c r="E411" s="258">
        <v>182</v>
      </c>
      <c r="F411" s="258">
        <v>201</v>
      </c>
      <c r="G411" s="258">
        <v>224</v>
      </c>
      <c r="H411" s="258">
        <v>347</v>
      </c>
      <c r="I411" s="258">
        <v>367</v>
      </c>
      <c r="J411" s="258">
        <v>401</v>
      </c>
      <c r="K411" s="258">
        <v>460</v>
      </c>
      <c r="L411" s="258">
        <v>453</v>
      </c>
      <c r="M411" s="258">
        <v>506</v>
      </c>
      <c r="N411" s="258">
        <v>509</v>
      </c>
      <c r="O411" s="258">
        <v>534</v>
      </c>
      <c r="P411" s="258">
        <v>484</v>
      </c>
      <c r="Q411" s="258">
        <v>495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45"/>
      <c r="B412" s="297" t="s">
        <v>7</v>
      </c>
      <c r="C412" s="307">
        <v>131</v>
      </c>
      <c r="D412" s="259">
        <v>224</v>
      </c>
      <c r="E412" s="259">
        <v>258</v>
      </c>
      <c r="F412" s="259">
        <v>299</v>
      </c>
      <c r="G412" s="259">
        <v>339</v>
      </c>
      <c r="H412" s="259">
        <v>487</v>
      </c>
      <c r="I412" s="259">
        <v>521</v>
      </c>
      <c r="J412" s="259">
        <v>647</v>
      </c>
      <c r="K412" s="259">
        <v>759</v>
      </c>
      <c r="L412" s="259">
        <v>778</v>
      </c>
      <c r="M412" s="259">
        <v>887</v>
      </c>
      <c r="N412" s="259">
        <v>963</v>
      </c>
      <c r="O412" s="259">
        <v>1044</v>
      </c>
      <c r="P412" s="259">
        <v>1145</v>
      </c>
      <c r="Q412" s="259">
        <v>1212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58" t="s">
        <v>557</v>
      </c>
      <c r="B413" s="329" t="s">
        <v>2</v>
      </c>
      <c r="C413" s="318">
        <v>35.1</v>
      </c>
      <c r="D413" s="262">
        <v>49.2</v>
      </c>
      <c r="E413" s="262">
        <v>58.7</v>
      </c>
      <c r="F413" s="262">
        <v>70</v>
      </c>
      <c r="G413" s="262">
        <v>82.6</v>
      </c>
      <c r="H413" s="262">
        <v>92.7</v>
      </c>
      <c r="I413" s="237">
        <v>101</v>
      </c>
      <c r="J413" s="237">
        <v>124</v>
      </c>
      <c r="K413" s="237">
        <v>148</v>
      </c>
      <c r="L413" s="237">
        <v>164</v>
      </c>
      <c r="M413" s="237">
        <v>183</v>
      </c>
      <c r="N413" s="237">
        <v>184</v>
      </c>
      <c r="O413" s="237">
        <v>192</v>
      </c>
      <c r="P413" s="237">
        <v>155</v>
      </c>
      <c r="Q413" s="237">
        <v>161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1"/>
      <c r="B414" s="296" t="s">
        <v>3</v>
      </c>
      <c r="C414" s="319">
        <v>79.7</v>
      </c>
      <c r="D414" s="258">
        <v>120</v>
      </c>
      <c r="E414" s="258">
        <v>142</v>
      </c>
      <c r="F414" s="258">
        <v>173</v>
      </c>
      <c r="G414" s="258">
        <v>202</v>
      </c>
      <c r="H414" s="258">
        <v>243</v>
      </c>
      <c r="I414" s="258">
        <v>268</v>
      </c>
      <c r="J414" s="258">
        <v>388</v>
      </c>
      <c r="K414" s="258">
        <v>462</v>
      </c>
      <c r="L414" s="258">
        <v>510</v>
      </c>
      <c r="M414" s="258">
        <v>582</v>
      </c>
      <c r="N414" s="258">
        <v>664</v>
      </c>
      <c r="O414" s="258">
        <v>706</v>
      </c>
      <c r="P414" s="258">
        <v>839</v>
      </c>
      <c r="Q414" s="258">
        <v>878</v>
      </c>
      <c r="R414" s="258">
        <v>934</v>
      </c>
      <c r="S414" s="258">
        <v>974</v>
      </c>
      <c r="T414" s="258">
        <v>1050</v>
      </c>
      <c r="U414" s="310">
        <v>1089</v>
      </c>
    </row>
    <row r="415" spans="1:21" ht="9.3000000000000007" customHeight="1">
      <c r="A415" s="1"/>
      <c r="B415" s="296" t="s">
        <v>5</v>
      </c>
      <c r="C415" s="319">
        <v>80.5</v>
      </c>
      <c r="D415" s="258">
        <v>143</v>
      </c>
      <c r="E415" s="258">
        <v>172</v>
      </c>
      <c r="F415" s="258">
        <v>192</v>
      </c>
      <c r="G415" s="258">
        <v>215</v>
      </c>
      <c r="H415" s="258">
        <v>332</v>
      </c>
      <c r="I415" s="258">
        <v>353</v>
      </c>
      <c r="J415" s="258">
        <v>388</v>
      </c>
      <c r="K415" s="258">
        <v>443</v>
      </c>
      <c r="L415" s="258">
        <v>440</v>
      </c>
      <c r="M415" s="258">
        <v>490</v>
      </c>
      <c r="N415" s="258">
        <v>502</v>
      </c>
      <c r="O415" s="258">
        <v>521</v>
      </c>
      <c r="P415" s="258">
        <v>485</v>
      </c>
      <c r="Q415" s="258">
        <v>499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45"/>
      <c r="B416" s="297" t="s">
        <v>7</v>
      </c>
      <c r="C416" s="307">
        <v>121</v>
      </c>
      <c r="D416" s="259">
        <v>205</v>
      </c>
      <c r="E416" s="259">
        <v>245</v>
      </c>
      <c r="F416" s="259">
        <v>284</v>
      </c>
      <c r="G416" s="259">
        <v>322</v>
      </c>
      <c r="H416" s="259">
        <v>462</v>
      </c>
      <c r="I416" s="259">
        <v>498</v>
      </c>
      <c r="J416" s="259">
        <v>624</v>
      </c>
      <c r="K416" s="259">
        <v>724</v>
      </c>
      <c r="L416" s="259">
        <v>751</v>
      </c>
      <c r="M416" s="259">
        <v>849</v>
      </c>
      <c r="N416" s="259">
        <v>934</v>
      </c>
      <c r="O416" s="259">
        <v>985</v>
      </c>
      <c r="P416" s="259">
        <v>1116</v>
      </c>
      <c r="Q416" s="259">
        <v>1163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58">
        <v>40</v>
      </c>
      <c r="B417" s="329" t="s">
        <v>2</v>
      </c>
      <c r="C417" s="318">
        <v>30.9</v>
      </c>
      <c r="D417" s="262">
        <v>43.6</v>
      </c>
      <c r="E417" s="262">
        <v>56.4</v>
      </c>
      <c r="F417" s="262">
        <v>62.6</v>
      </c>
      <c r="G417" s="262">
        <v>79.8</v>
      </c>
      <c r="H417" s="262">
        <v>88.4</v>
      </c>
      <c r="I417" s="262">
        <v>99.1</v>
      </c>
      <c r="J417" s="237">
        <v>120</v>
      </c>
      <c r="K417" s="237">
        <v>147</v>
      </c>
      <c r="L417" s="237">
        <v>161</v>
      </c>
      <c r="M417" s="237">
        <v>184</v>
      </c>
      <c r="N417" s="237">
        <v>187</v>
      </c>
      <c r="O417" s="237">
        <v>196</v>
      </c>
      <c r="P417" s="237">
        <v>172</v>
      </c>
      <c r="Q417" s="237">
        <v>175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1"/>
      <c r="B418" s="296" t="s">
        <v>3</v>
      </c>
      <c r="C418" s="319">
        <v>69</v>
      </c>
      <c r="D418" s="258">
        <v>104</v>
      </c>
      <c r="E418" s="258">
        <v>135</v>
      </c>
      <c r="F418" s="258">
        <v>151</v>
      </c>
      <c r="G418" s="258">
        <v>192</v>
      </c>
      <c r="H418" s="258">
        <v>227</v>
      </c>
      <c r="I418" s="258">
        <v>257</v>
      </c>
      <c r="J418" s="258">
        <v>365</v>
      </c>
      <c r="K418" s="258">
        <v>440</v>
      </c>
      <c r="L418" s="258">
        <v>482</v>
      </c>
      <c r="M418" s="258">
        <v>557</v>
      </c>
      <c r="N418" s="258">
        <v>633</v>
      </c>
      <c r="O418" s="258">
        <v>685</v>
      </c>
      <c r="P418" s="258">
        <v>811</v>
      </c>
      <c r="Q418" s="258">
        <v>859</v>
      </c>
      <c r="R418" s="258">
        <v>919</v>
      </c>
      <c r="S418" s="258">
        <v>969</v>
      </c>
      <c r="T418" s="258">
        <v>1036</v>
      </c>
      <c r="U418" s="310">
        <v>1084</v>
      </c>
    </row>
    <row r="419" spans="1:21" ht="9.3000000000000007" customHeight="1">
      <c r="A419" s="1"/>
      <c r="B419" s="296" t="s">
        <v>5</v>
      </c>
      <c r="C419" s="319">
        <v>66.2</v>
      </c>
      <c r="D419" s="258">
        <v>118</v>
      </c>
      <c r="E419" s="258">
        <v>160</v>
      </c>
      <c r="F419" s="258">
        <v>172</v>
      </c>
      <c r="G419" s="258">
        <v>206</v>
      </c>
      <c r="H419" s="258">
        <v>313</v>
      </c>
      <c r="I419" s="258">
        <v>339</v>
      </c>
      <c r="J419" s="258">
        <v>370</v>
      </c>
      <c r="K419" s="258">
        <v>426</v>
      </c>
      <c r="L419" s="258">
        <v>421</v>
      </c>
      <c r="M419" s="258">
        <v>473</v>
      </c>
      <c r="N419" s="258">
        <v>486</v>
      </c>
      <c r="O419" s="258">
        <v>513</v>
      </c>
      <c r="P419" s="258">
        <v>483</v>
      </c>
      <c r="Q419" s="258">
        <v>499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45"/>
      <c r="B420" s="297" t="s">
        <v>7</v>
      </c>
      <c r="C420" s="307">
        <v>101</v>
      </c>
      <c r="D420" s="259">
        <v>171</v>
      </c>
      <c r="E420" s="259">
        <v>229</v>
      </c>
      <c r="F420" s="259">
        <v>250</v>
      </c>
      <c r="G420" s="259">
        <v>307</v>
      </c>
      <c r="H420" s="259">
        <v>433</v>
      </c>
      <c r="I420" s="259">
        <v>477</v>
      </c>
      <c r="J420" s="259">
        <v>589</v>
      </c>
      <c r="K420" s="259">
        <v>690</v>
      </c>
      <c r="L420" s="259">
        <v>711</v>
      </c>
      <c r="M420" s="259">
        <v>810</v>
      </c>
      <c r="N420" s="259">
        <v>889</v>
      </c>
      <c r="O420" s="259">
        <v>955</v>
      </c>
      <c r="P420" s="259">
        <v>1070</v>
      </c>
      <c r="Q420" s="259">
        <v>1134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58">
        <v>45</v>
      </c>
      <c r="B421" s="329" t="s">
        <v>2</v>
      </c>
      <c r="C421" s="318">
        <v>30.2</v>
      </c>
      <c r="D421" s="262">
        <v>42.6</v>
      </c>
      <c r="E421" s="262">
        <v>53.8</v>
      </c>
      <c r="F421" s="262">
        <v>61.2</v>
      </c>
      <c r="G421" s="262">
        <v>77.2</v>
      </c>
      <c r="H421" s="262">
        <v>82.8</v>
      </c>
      <c r="I421" s="262">
        <v>96.3</v>
      </c>
      <c r="J421" s="237">
        <v>113</v>
      </c>
      <c r="K421" s="237">
        <v>144</v>
      </c>
      <c r="L421" s="237">
        <v>151</v>
      </c>
      <c r="M421" s="237">
        <v>183</v>
      </c>
      <c r="N421" s="237">
        <v>180</v>
      </c>
      <c r="O421" s="237">
        <v>199</v>
      </c>
      <c r="P421" s="237">
        <v>171</v>
      </c>
      <c r="Q421" s="237">
        <v>190</v>
      </c>
      <c r="R421" s="85" t="s">
        <v>21</v>
      </c>
      <c r="S421" s="85" t="s">
        <v>21</v>
      </c>
      <c r="T421" s="85" t="s">
        <v>21</v>
      </c>
      <c r="U421" s="221" t="s">
        <v>21</v>
      </c>
    </row>
    <row r="422" spans="1:21" ht="9" customHeight="1">
      <c r="A422" s="1"/>
      <c r="B422" s="296" t="s">
        <v>3</v>
      </c>
      <c r="C422" s="319">
        <v>67.099999999999994</v>
      </c>
      <c r="D422" s="258">
        <v>101</v>
      </c>
      <c r="E422" s="258">
        <v>127</v>
      </c>
      <c r="F422" s="258">
        <v>146</v>
      </c>
      <c r="G422" s="258">
        <v>182</v>
      </c>
      <c r="H422" s="258">
        <v>209</v>
      </c>
      <c r="I422" s="258">
        <v>244</v>
      </c>
      <c r="J422" s="258">
        <v>337</v>
      </c>
      <c r="K422" s="258">
        <v>423</v>
      </c>
      <c r="L422" s="258">
        <v>442</v>
      </c>
      <c r="M422" s="258">
        <v>538</v>
      </c>
      <c r="N422" s="258">
        <v>586</v>
      </c>
      <c r="O422" s="258">
        <v>653</v>
      </c>
      <c r="P422" s="258">
        <v>757</v>
      </c>
      <c r="Q422" s="258">
        <v>830</v>
      </c>
      <c r="R422" s="258">
        <v>877</v>
      </c>
      <c r="S422" s="258">
        <v>949</v>
      </c>
      <c r="T422" s="258">
        <v>988</v>
      </c>
      <c r="U422" s="310">
        <v>1064</v>
      </c>
    </row>
    <row r="423" spans="1:21" ht="9.3000000000000007" customHeight="1">
      <c r="A423" s="1"/>
      <c r="B423" s="296" t="s">
        <v>5</v>
      </c>
      <c r="C423" s="319">
        <v>64.2</v>
      </c>
      <c r="D423" s="258">
        <v>113</v>
      </c>
      <c r="E423" s="258">
        <v>145</v>
      </c>
      <c r="F423" s="258">
        <v>167</v>
      </c>
      <c r="G423" s="258">
        <v>197</v>
      </c>
      <c r="H423" s="258">
        <v>290</v>
      </c>
      <c r="I423" s="258">
        <v>325</v>
      </c>
      <c r="J423" s="258">
        <v>346</v>
      </c>
      <c r="K423" s="258">
        <v>413</v>
      </c>
      <c r="L423" s="258">
        <v>391</v>
      </c>
      <c r="M423" s="258">
        <v>460</v>
      </c>
      <c r="N423" s="258">
        <v>457</v>
      </c>
      <c r="O423" s="258">
        <v>496</v>
      </c>
      <c r="P423" s="258">
        <v>462</v>
      </c>
      <c r="Q423" s="258">
        <v>496</v>
      </c>
      <c r="R423" s="146" t="s">
        <v>21</v>
      </c>
      <c r="S423" s="146" t="s">
        <v>21</v>
      </c>
      <c r="T423" s="146" t="s">
        <v>21</v>
      </c>
      <c r="U423" s="223" t="s">
        <v>21</v>
      </c>
    </row>
    <row r="424" spans="1:21" ht="10.95" customHeight="1">
      <c r="A424" s="45"/>
      <c r="B424" s="297" t="s">
        <v>7</v>
      </c>
      <c r="C424" s="321">
        <v>98.1</v>
      </c>
      <c r="D424" s="259">
        <v>165</v>
      </c>
      <c r="E424" s="259">
        <v>210</v>
      </c>
      <c r="F424" s="259">
        <v>243</v>
      </c>
      <c r="G424" s="259">
        <v>292</v>
      </c>
      <c r="H424" s="259">
        <v>400</v>
      </c>
      <c r="I424" s="259">
        <v>453</v>
      </c>
      <c r="J424" s="259">
        <v>546</v>
      </c>
      <c r="K424" s="259">
        <v>664</v>
      </c>
      <c r="L424" s="259">
        <v>655</v>
      </c>
      <c r="M424" s="259">
        <v>781</v>
      </c>
      <c r="N424" s="259">
        <v>824</v>
      </c>
      <c r="O424" s="259">
        <v>909</v>
      </c>
      <c r="P424" s="259">
        <v>999</v>
      </c>
      <c r="Q424" s="259">
        <v>1085</v>
      </c>
      <c r="R424" s="149" t="s">
        <v>21</v>
      </c>
      <c r="S424" s="149" t="s">
        <v>21</v>
      </c>
      <c r="T424" s="149" t="s">
        <v>21</v>
      </c>
      <c r="U424" s="225" t="s">
        <v>21</v>
      </c>
    </row>
    <row r="425" spans="1:21" ht="10.199999999999999" customHeight="1">
      <c r="A425" s="58">
        <v>50</v>
      </c>
      <c r="B425" s="329" t="s">
        <v>2</v>
      </c>
      <c r="C425" s="318">
        <v>32.299999999999997</v>
      </c>
      <c r="D425" s="262">
        <v>44.6</v>
      </c>
      <c r="E425" s="262">
        <v>47.5</v>
      </c>
      <c r="F425" s="262">
        <v>64.5</v>
      </c>
      <c r="G425" s="262">
        <v>69</v>
      </c>
      <c r="H425" s="262">
        <v>87.6</v>
      </c>
      <c r="I425" s="262">
        <v>91.8</v>
      </c>
      <c r="J425" s="237">
        <v>127</v>
      </c>
      <c r="K425" s="237">
        <v>138</v>
      </c>
      <c r="L425" s="237">
        <v>173</v>
      </c>
      <c r="M425" s="237">
        <v>179</v>
      </c>
      <c r="N425" s="237">
        <v>235</v>
      </c>
      <c r="O425" s="237">
        <v>191</v>
      </c>
      <c r="P425" s="237">
        <v>265</v>
      </c>
      <c r="Q425" s="237">
        <v>187</v>
      </c>
      <c r="R425" s="237">
        <v>222</v>
      </c>
      <c r="S425" s="237">
        <v>145</v>
      </c>
      <c r="T425" s="237">
        <v>302</v>
      </c>
      <c r="U425" s="221" t="s">
        <v>21</v>
      </c>
    </row>
    <row r="426" spans="1:21" ht="9" customHeight="1">
      <c r="A426" s="1"/>
      <c r="B426" s="296" t="s">
        <v>3</v>
      </c>
      <c r="C426" s="319">
        <v>68.400000000000006</v>
      </c>
      <c r="D426" s="258">
        <v>100</v>
      </c>
      <c r="E426" s="258">
        <v>110</v>
      </c>
      <c r="F426" s="258">
        <v>145</v>
      </c>
      <c r="G426" s="258">
        <v>159</v>
      </c>
      <c r="H426" s="258">
        <v>208</v>
      </c>
      <c r="I426" s="258">
        <v>227</v>
      </c>
      <c r="J426" s="258">
        <v>339</v>
      </c>
      <c r="K426" s="258">
        <v>398</v>
      </c>
      <c r="L426" s="258">
        <v>457</v>
      </c>
      <c r="M426" s="258">
        <v>508</v>
      </c>
      <c r="N426" s="258">
        <v>627</v>
      </c>
      <c r="O426" s="258">
        <v>604</v>
      </c>
      <c r="P426" s="258">
        <v>829</v>
      </c>
      <c r="Q426" s="258">
        <v>774</v>
      </c>
      <c r="R426" s="258">
        <v>959</v>
      </c>
      <c r="S426" s="258">
        <v>905</v>
      </c>
      <c r="T426" s="258">
        <v>1133</v>
      </c>
      <c r="U426" s="310">
        <v>1013</v>
      </c>
    </row>
    <row r="427" spans="1:21" ht="9.3000000000000007" customHeight="1">
      <c r="A427" s="1"/>
      <c r="B427" s="296" t="s">
        <v>5</v>
      </c>
      <c r="C427" s="319">
        <v>65.5</v>
      </c>
      <c r="D427" s="258">
        <v>111</v>
      </c>
      <c r="E427" s="258">
        <v>120</v>
      </c>
      <c r="F427" s="258">
        <v>167</v>
      </c>
      <c r="G427" s="258">
        <v>176</v>
      </c>
      <c r="H427" s="258">
        <v>282</v>
      </c>
      <c r="I427" s="258">
        <v>307</v>
      </c>
      <c r="J427" s="258">
        <v>351</v>
      </c>
      <c r="K427" s="258">
        <v>393</v>
      </c>
      <c r="L427" s="258">
        <v>409</v>
      </c>
      <c r="M427" s="258">
        <v>440</v>
      </c>
      <c r="N427" s="258">
        <v>501</v>
      </c>
      <c r="O427" s="258">
        <v>466</v>
      </c>
      <c r="P427" s="258">
        <v>546</v>
      </c>
      <c r="Q427" s="258">
        <v>474</v>
      </c>
      <c r="R427" s="146" t="s">
        <v>21</v>
      </c>
      <c r="S427" s="146" t="s">
        <v>21</v>
      </c>
      <c r="T427" s="146" t="s">
        <v>21</v>
      </c>
      <c r="U427" s="223" t="s">
        <v>21</v>
      </c>
    </row>
    <row r="428" spans="1:21" ht="10.95" customHeight="1">
      <c r="A428" s="45"/>
      <c r="B428" s="297" t="s">
        <v>7</v>
      </c>
      <c r="C428" s="321">
        <v>98.7</v>
      </c>
      <c r="D428" s="259">
        <v>161</v>
      </c>
      <c r="E428" s="259">
        <v>176</v>
      </c>
      <c r="F428" s="259">
        <v>239</v>
      </c>
      <c r="G428" s="259">
        <v>257</v>
      </c>
      <c r="H428" s="259">
        <v>387</v>
      </c>
      <c r="I428" s="259">
        <v>424</v>
      </c>
      <c r="J428" s="259">
        <v>542</v>
      </c>
      <c r="K428" s="259">
        <v>627</v>
      </c>
      <c r="L428" s="259">
        <v>667</v>
      </c>
      <c r="M428" s="259">
        <v>739</v>
      </c>
      <c r="N428" s="259">
        <v>862</v>
      </c>
      <c r="O428" s="259">
        <v>842</v>
      </c>
      <c r="P428" s="259">
        <v>1066</v>
      </c>
      <c r="Q428" s="259">
        <v>1014</v>
      </c>
      <c r="R428" s="149" t="s">
        <v>21</v>
      </c>
      <c r="S428" s="149" t="s">
        <v>21</v>
      </c>
      <c r="T428" s="149" t="s">
        <v>21</v>
      </c>
      <c r="U428" s="225" t="s">
        <v>21</v>
      </c>
    </row>
    <row r="429" spans="1:21" ht="10.199999999999999" customHeight="1">
      <c r="A429" s="58">
        <v>56</v>
      </c>
      <c r="B429" s="329" t="s">
        <v>2</v>
      </c>
      <c r="C429" s="318">
        <v>29.6</v>
      </c>
      <c r="D429" s="262">
        <v>41.1</v>
      </c>
      <c r="E429" s="262">
        <v>46.4</v>
      </c>
      <c r="F429" s="262">
        <v>59.7</v>
      </c>
      <c r="G429" s="262">
        <v>67.3</v>
      </c>
      <c r="H429" s="262">
        <v>80.8</v>
      </c>
      <c r="I429" s="262">
        <v>86</v>
      </c>
      <c r="J429" s="237">
        <v>117</v>
      </c>
      <c r="K429" s="237">
        <v>130</v>
      </c>
      <c r="L429" s="237">
        <v>162</v>
      </c>
      <c r="M429" s="237">
        <v>167</v>
      </c>
      <c r="N429" s="237">
        <v>221</v>
      </c>
      <c r="O429" s="237">
        <v>245</v>
      </c>
      <c r="P429" s="237">
        <v>256</v>
      </c>
      <c r="Q429" s="237">
        <v>280</v>
      </c>
      <c r="R429" s="237">
        <v>227</v>
      </c>
      <c r="S429" s="237">
        <v>255</v>
      </c>
      <c r="T429" s="237">
        <v>304</v>
      </c>
      <c r="U429" s="316">
        <v>334</v>
      </c>
    </row>
    <row r="430" spans="1:21" ht="9" customHeight="1">
      <c r="A430" s="1"/>
      <c r="B430" s="296" t="s">
        <v>3</v>
      </c>
      <c r="C430" s="319">
        <v>61.9</v>
      </c>
      <c r="D430" s="320">
        <v>91.3</v>
      </c>
      <c r="E430" s="258">
        <v>107</v>
      </c>
      <c r="F430" s="258">
        <v>133</v>
      </c>
      <c r="G430" s="258">
        <v>154</v>
      </c>
      <c r="H430" s="258">
        <v>189</v>
      </c>
      <c r="I430" s="258">
        <v>210</v>
      </c>
      <c r="J430" s="258">
        <v>309</v>
      </c>
      <c r="K430" s="258">
        <v>367</v>
      </c>
      <c r="L430" s="258">
        <v>418</v>
      </c>
      <c r="M430" s="258">
        <v>466</v>
      </c>
      <c r="N430" s="258">
        <v>577</v>
      </c>
      <c r="O430" s="258">
        <v>645</v>
      </c>
      <c r="P430" s="258">
        <v>766</v>
      </c>
      <c r="Q430" s="258">
        <v>845</v>
      </c>
      <c r="R430" s="258">
        <v>894</v>
      </c>
      <c r="S430" s="258">
        <v>985</v>
      </c>
      <c r="T430" s="258">
        <v>1056</v>
      </c>
      <c r="U430" s="310">
        <v>1157</v>
      </c>
    </row>
    <row r="431" spans="1:21" ht="9.3000000000000007" customHeight="1">
      <c r="A431" s="1"/>
      <c r="B431" s="296" t="s">
        <v>5</v>
      </c>
      <c r="C431" s="319">
        <v>58.2</v>
      </c>
      <c r="D431" s="320">
        <v>99.4</v>
      </c>
      <c r="E431" s="258">
        <v>115</v>
      </c>
      <c r="F431" s="258">
        <v>155</v>
      </c>
      <c r="G431" s="258">
        <v>171</v>
      </c>
      <c r="H431" s="258">
        <v>249</v>
      </c>
      <c r="I431" s="258">
        <v>286</v>
      </c>
      <c r="J431" s="258">
        <v>324</v>
      </c>
      <c r="K431" s="258">
        <v>366</v>
      </c>
      <c r="L431" s="258">
        <v>380</v>
      </c>
      <c r="M431" s="258">
        <v>408</v>
      </c>
      <c r="N431" s="258">
        <v>467</v>
      </c>
      <c r="O431" s="258">
        <v>511</v>
      </c>
      <c r="P431" s="258">
        <v>514</v>
      </c>
      <c r="Q431" s="258">
        <v>557</v>
      </c>
      <c r="R431" s="146" t="s">
        <v>21</v>
      </c>
      <c r="S431" s="146" t="s">
        <v>21</v>
      </c>
      <c r="T431" s="146" t="s">
        <v>21</v>
      </c>
      <c r="U431" s="223" t="s">
        <v>21</v>
      </c>
    </row>
    <row r="432" spans="1:21" ht="10.8" customHeight="1">
      <c r="A432" s="1"/>
      <c r="B432" s="296" t="s">
        <v>7</v>
      </c>
      <c r="C432" s="319">
        <v>88</v>
      </c>
      <c r="D432" s="258">
        <v>145</v>
      </c>
      <c r="E432" s="258">
        <v>169</v>
      </c>
      <c r="F432" s="258">
        <v>220</v>
      </c>
      <c r="G432" s="258">
        <v>249</v>
      </c>
      <c r="H432" s="258">
        <v>344</v>
      </c>
      <c r="I432" s="258">
        <v>394</v>
      </c>
      <c r="J432" s="258">
        <v>496</v>
      </c>
      <c r="K432" s="258">
        <v>580</v>
      </c>
      <c r="L432" s="258">
        <v>613</v>
      </c>
      <c r="M432" s="258">
        <v>681</v>
      </c>
      <c r="N432" s="258">
        <v>794</v>
      </c>
      <c r="O432" s="258">
        <v>878</v>
      </c>
      <c r="P432" s="258">
        <v>987</v>
      </c>
      <c r="Q432" s="258">
        <v>1080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5" customHeight="1">
      <c r="A433" s="58">
        <v>63</v>
      </c>
      <c r="B433" s="329" t="s">
        <v>2</v>
      </c>
      <c r="C433" s="318">
        <v>28.4</v>
      </c>
      <c r="D433" s="262">
        <v>39.4</v>
      </c>
      <c r="E433" s="262">
        <v>48.3</v>
      </c>
      <c r="F433" s="262">
        <v>57.5</v>
      </c>
      <c r="G433" s="262">
        <v>70.3</v>
      </c>
      <c r="H433" s="262">
        <v>77.599999999999994</v>
      </c>
      <c r="I433" s="262">
        <v>90.5</v>
      </c>
      <c r="J433" s="237">
        <v>113</v>
      </c>
      <c r="K433" s="237">
        <v>143</v>
      </c>
      <c r="L433" s="237">
        <v>156</v>
      </c>
      <c r="M433" s="237">
        <v>189</v>
      </c>
      <c r="N433" s="237">
        <v>216</v>
      </c>
      <c r="O433" s="237">
        <v>231</v>
      </c>
      <c r="P433" s="237">
        <v>255</v>
      </c>
      <c r="Q433" s="237">
        <v>270</v>
      </c>
      <c r="R433" s="237">
        <v>230</v>
      </c>
      <c r="S433" s="237">
        <v>256</v>
      </c>
      <c r="T433" s="237">
        <v>308</v>
      </c>
      <c r="U433" s="316">
        <v>332</v>
      </c>
    </row>
    <row r="434" spans="1:21" ht="9" customHeight="1">
      <c r="A434" s="1"/>
      <c r="B434" s="296" t="s">
        <v>3</v>
      </c>
      <c r="C434" s="319">
        <v>58.8</v>
      </c>
      <c r="D434" s="320">
        <v>86.7</v>
      </c>
      <c r="E434" s="258">
        <v>106</v>
      </c>
      <c r="F434" s="258">
        <v>127</v>
      </c>
      <c r="G434" s="258">
        <v>153</v>
      </c>
      <c r="H434" s="258">
        <v>180</v>
      </c>
      <c r="I434" s="258">
        <v>208</v>
      </c>
      <c r="J434" s="258">
        <v>294</v>
      </c>
      <c r="K434" s="258">
        <v>369</v>
      </c>
      <c r="L434" s="258">
        <v>399</v>
      </c>
      <c r="M434" s="258">
        <v>480</v>
      </c>
      <c r="N434" s="258">
        <v>553</v>
      </c>
      <c r="O434" s="258">
        <v>593</v>
      </c>
      <c r="P434" s="258">
        <v>737</v>
      </c>
      <c r="Q434" s="258">
        <v>781</v>
      </c>
      <c r="R434" s="258">
        <v>871</v>
      </c>
      <c r="S434" s="258">
        <v>919</v>
      </c>
      <c r="T434" s="258">
        <v>1029</v>
      </c>
      <c r="U434" s="310">
        <v>1076</v>
      </c>
    </row>
    <row r="435" spans="1:21" ht="9.3000000000000007" customHeight="1">
      <c r="A435" s="1"/>
      <c r="B435" s="296" t="s">
        <v>5</v>
      </c>
      <c r="C435" s="319">
        <v>54.4</v>
      </c>
      <c r="D435" s="320">
        <v>92.7</v>
      </c>
      <c r="E435" s="258">
        <v>113</v>
      </c>
      <c r="F435" s="258">
        <v>149</v>
      </c>
      <c r="G435" s="258">
        <v>171</v>
      </c>
      <c r="H435" s="258">
        <v>232</v>
      </c>
      <c r="I435" s="258">
        <v>284</v>
      </c>
      <c r="J435" s="258">
        <v>312</v>
      </c>
      <c r="K435" s="258">
        <v>371</v>
      </c>
      <c r="L435" s="258">
        <v>365</v>
      </c>
      <c r="M435" s="258">
        <v>426</v>
      </c>
      <c r="N435" s="258">
        <v>453</v>
      </c>
      <c r="O435" s="258">
        <v>476</v>
      </c>
      <c r="P435" s="258">
        <v>500</v>
      </c>
      <c r="Q435" s="258">
        <v>523</v>
      </c>
      <c r="R435" s="146" t="s">
        <v>21</v>
      </c>
      <c r="S435" s="146" t="s">
        <v>21</v>
      </c>
      <c r="T435" s="146" t="s">
        <v>21</v>
      </c>
      <c r="U435" s="223" t="s">
        <v>21</v>
      </c>
    </row>
    <row r="436" spans="1:21" ht="10.8" customHeight="1">
      <c r="A436" s="1"/>
      <c r="B436" s="296" t="s">
        <v>7</v>
      </c>
      <c r="C436" s="321">
        <v>82.6</v>
      </c>
      <c r="D436" s="259">
        <v>135</v>
      </c>
      <c r="E436" s="259">
        <v>165</v>
      </c>
      <c r="F436" s="259">
        <v>211</v>
      </c>
      <c r="G436" s="259">
        <v>246</v>
      </c>
      <c r="H436" s="259">
        <v>322</v>
      </c>
      <c r="I436" s="259">
        <v>386</v>
      </c>
      <c r="J436" s="259">
        <v>474</v>
      </c>
      <c r="K436" s="259">
        <v>576</v>
      </c>
      <c r="L436" s="259">
        <v>586</v>
      </c>
      <c r="M436" s="259">
        <v>692</v>
      </c>
      <c r="N436" s="259">
        <v>763</v>
      </c>
      <c r="O436" s="259">
        <v>809</v>
      </c>
      <c r="P436" s="259">
        <v>950</v>
      </c>
      <c r="Q436" s="259">
        <v>999</v>
      </c>
      <c r="R436" s="149" t="s">
        <v>21</v>
      </c>
      <c r="S436" s="149" t="s">
        <v>21</v>
      </c>
      <c r="T436" s="149" t="s">
        <v>21</v>
      </c>
      <c r="U436" s="225" t="s">
        <v>21</v>
      </c>
    </row>
    <row r="437" spans="1:21" ht="10.5" customHeight="1">
      <c r="A437" s="58">
        <v>71</v>
      </c>
      <c r="B437" s="329" t="s">
        <v>2</v>
      </c>
      <c r="C437" s="318">
        <v>25.8</v>
      </c>
      <c r="D437" s="262">
        <v>37.1</v>
      </c>
      <c r="E437" s="262">
        <v>44.5</v>
      </c>
      <c r="F437" s="262">
        <v>54.3</v>
      </c>
      <c r="G437" s="262">
        <v>65.099999999999994</v>
      </c>
      <c r="H437" s="262">
        <v>72.400000000000006</v>
      </c>
      <c r="I437" s="262">
        <v>83.6</v>
      </c>
      <c r="J437" s="237">
        <v>105</v>
      </c>
      <c r="K437" s="237">
        <v>132</v>
      </c>
      <c r="L437" s="237">
        <v>146</v>
      </c>
      <c r="M437" s="237">
        <v>176</v>
      </c>
      <c r="N437" s="237">
        <v>207</v>
      </c>
      <c r="O437" s="237">
        <v>225</v>
      </c>
      <c r="P437" s="237">
        <v>247</v>
      </c>
      <c r="Q437" s="237">
        <v>267</v>
      </c>
      <c r="R437" s="237">
        <v>235</v>
      </c>
      <c r="S437" s="237">
        <v>258</v>
      </c>
      <c r="T437" s="237">
        <v>312</v>
      </c>
      <c r="U437" s="316">
        <v>334</v>
      </c>
    </row>
    <row r="438" spans="1:21" ht="9" customHeight="1">
      <c r="A438" s="1"/>
      <c r="B438" s="296" t="s">
        <v>3</v>
      </c>
      <c r="C438" s="319">
        <v>53.2</v>
      </c>
      <c r="D438" s="320">
        <v>80.7</v>
      </c>
      <c r="E438" s="320">
        <v>96.4</v>
      </c>
      <c r="F438" s="258">
        <v>119</v>
      </c>
      <c r="G438" s="258">
        <v>141</v>
      </c>
      <c r="H438" s="258">
        <v>165</v>
      </c>
      <c r="I438" s="258">
        <v>190</v>
      </c>
      <c r="J438" s="258">
        <v>268</v>
      </c>
      <c r="K438" s="258">
        <v>336</v>
      </c>
      <c r="L438" s="258">
        <v>367</v>
      </c>
      <c r="M438" s="258">
        <v>440</v>
      </c>
      <c r="N438" s="258">
        <v>520</v>
      </c>
      <c r="O438" s="258">
        <v>568</v>
      </c>
      <c r="P438" s="258">
        <v>696</v>
      </c>
      <c r="Q438" s="258">
        <v>751</v>
      </c>
      <c r="R438" s="258">
        <v>828</v>
      </c>
      <c r="S438" s="258">
        <v>894</v>
      </c>
      <c r="T438" s="258">
        <v>978</v>
      </c>
      <c r="U438" s="310">
        <v>1047</v>
      </c>
    </row>
    <row r="439" spans="1:21" ht="9.3000000000000007" customHeight="1">
      <c r="A439" s="1"/>
      <c r="B439" s="296" t="s">
        <v>5</v>
      </c>
      <c r="C439" s="319">
        <v>48.2</v>
      </c>
      <c r="D439" s="320">
        <v>84.2</v>
      </c>
      <c r="E439" s="258">
        <v>101</v>
      </c>
      <c r="F439" s="258">
        <v>138</v>
      </c>
      <c r="G439" s="258">
        <v>158</v>
      </c>
      <c r="H439" s="258">
        <v>207</v>
      </c>
      <c r="I439" s="258">
        <v>255</v>
      </c>
      <c r="J439" s="258">
        <v>289</v>
      </c>
      <c r="K439" s="258">
        <v>342</v>
      </c>
      <c r="L439" s="258">
        <v>342</v>
      </c>
      <c r="M439" s="258">
        <v>395</v>
      </c>
      <c r="N439" s="258">
        <v>432</v>
      </c>
      <c r="O439" s="258">
        <v>461</v>
      </c>
      <c r="P439" s="258">
        <v>480</v>
      </c>
      <c r="Q439" s="258">
        <v>510</v>
      </c>
      <c r="R439" s="146" t="s">
        <v>21</v>
      </c>
      <c r="S439" s="146" t="s">
        <v>21</v>
      </c>
      <c r="T439" s="146" t="s">
        <v>21</v>
      </c>
      <c r="U439" s="223" t="s">
        <v>21</v>
      </c>
    </row>
    <row r="440" spans="1:21" ht="10.8" customHeight="1">
      <c r="A440" s="1"/>
      <c r="B440" s="296" t="s">
        <v>7</v>
      </c>
      <c r="C440" s="321">
        <v>73.8</v>
      </c>
      <c r="D440" s="259">
        <v>124</v>
      </c>
      <c r="E440" s="259">
        <v>148</v>
      </c>
      <c r="F440" s="259">
        <v>195</v>
      </c>
      <c r="G440" s="259">
        <v>226</v>
      </c>
      <c r="H440" s="259">
        <v>289</v>
      </c>
      <c r="I440" s="259">
        <v>348</v>
      </c>
      <c r="J440" s="259">
        <v>435</v>
      </c>
      <c r="K440" s="259">
        <v>526</v>
      </c>
      <c r="L440" s="259">
        <v>542</v>
      </c>
      <c r="M440" s="259">
        <v>635</v>
      </c>
      <c r="N440" s="259">
        <v>720</v>
      </c>
      <c r="O440" s="259">
        <v>777</v>
      </c>
      <c r="P440" s="259">
        <v>899</v>
      </c>
      <c r="Q440" s="259">
        <v>961</v>
      </c>
      <c r="R440" s="149" t="s">
        <v>21</v>
      </c>
      <c r="S440" s="149" t="s">
        <v>21</v>
      </c>
      <c r="T440" s="149" t="s">
        <v>21</v>
      </c>
      <c r="U440" s="225" t="s">
        <v>21</v>
      </c>
    </row>
    <row r="441" spans="1:21" ht="10.5" customHeight="1">
      <c r="A441" s="58">
        <v>80</v>
      </c>
      <c r="B441" s="329" t="s">
        <v>2</v>
      </c>
      <c r="C441" s="153" t="s">
        <v>1</v>
      </c>
      <c r="D441" s="85" t="s">
        <v>1</v>
      </c>
      <c r="E441" s="262">
        <v>42.7</v>
      </c>
      <c r="F441" s="85" t="s">
        <v>1</v>
      </c>
      <c r="G441" s="262">
        <v>62.6</v>
      </c>
      <c r="H441" s="85" t="s">
        <v>1</v>
      </c>
      <c r="I441" s="262">
        <v>80.2</v>
      </c>
      <c r="J441" s="85" t="s">
        <v>1</v>
      </c>
      <c r="K441" s="237">
        <v>127</v>
      </c>
      <c r="L441" s="85" t="s">
        <v>1</v>
      </c>
      <c r="M441" s="237">
        <v>170</v>
      </c>
      <c r="N441" s="85" t="s">
        <v>1</v>
      </c>
      <c r="O441" s="237">
        <v>215</v>
      </c>
      <c r="P441" s="85" t="s">
        <v>1</v>
      </c>
      <c r="Q441" s="237">
        <v>259</v>
      </c>
      <c r="R441" s="85" t="s">
        <v>1</v>
      </c>
      <c r="S441" s="237">
        <v>260</v>
      </c>
      <c r="T441" s="85" t="s">
        <v>1</v>
      </c>
      <c r="U441" s="316">
        <v>336</v>
      </c>
    </row>
    <row r="442" spans="1:21" ht="9" customHeight="1">
      <c r="A442" s="1"/>
      <c r="B442" s="296" t="s">
        <v>3</v>
      </c>
      <c r="C442" s="154" t="s">
        <v>1</v>
      </c>
      <c r="D442" s="146" t="s">
        <v>1</v>
      </c>
      <c r="E442" s="320">
        <v>91.7</v>
      </c>
      <c r="F442" s="146" t="s">
        <v>1</v>
      </c>
      <c r="G442" s="258">
        <v>134</v>
      </c>
      <c r="H442" s="146" t="s">
        <v>1</v>
      </c>
      <c r="I442" s="258">
        <v>181</v>
      </c>
      <c r="J442" s="146" t="s">
        <v>1</v>
      </c>
      <c r="K442" s="258">
        <v>319</v>
      </c>
      <c r="L442" s="146" t="s">
        <v>1</v>
      </c>
      <c r="M442" s="258">
        <v>419</v>
      </c>
      <c r="N442" s="146" t="s">
        <v>1</v>
      </c>
      <c r="O442" s="258">
        <v>535</v>
      </c>
      <c r="P442" s="146" t="s">
        <v>1</v>
      </c>
      <c r="Q442" s="258">
        <v>710</v>
      </c>
      <c r="R442" s="146" t="s">
        <v>1</v>
      </c>
      <c r="S442" s="258">
        <v>848</v>
      </c>
      <c r="T442" s="146" t="s">
        <v>1</v>
      </c>
      <c r="U442" s="310">
        <v>993</v>
      </c>
    </row>
    <row r="443" spans="1:21" ht="9.3000000000000007" customHeight="1">
      <c r="A443" s="1"/>
      <c r="B443" s="296" t="s">
        <v>5</v>
      </c>
      <c r="C443" s="154" t="s">
        <v>1</v>
      </c>
      <c r="D443" s="146" t="s">
        <v>1</v>
      </c>
      <c r="E443" s="320">
        <v>94.5</v>
      </c>
      <c r="F443" s="146" t="s">
        <v>1</v>
      </c>
      <c r="G443" s="258">
        <v>153</v>
      </c>
      <c r="H443" s="146" t="s">
        <v>1</v>
      </c>
      <c r="I443" s="258">
        <v>238</v>
      </c>
      <c r="J443" s="146" t="s">
        <v>1</v>
      </c>
      <c r="K443" s="258">
        <v>329</v>
      </c>
      <c r="L443" s="146" t="s">
        <v>1</v>
      </c>
      <c r="M443" s="258">
        <v>380</v>
      </c>
      <c r="N443" s="146" t="s">
        <v>1</v>
      </c>
      <c r="O443" s="258">
        <v>440</v>
      </c>
      <c r="P443" s="146" t="s">
        <v>1</v>
      </c>
      <c r="Q443" s="258">
        <v>489</v>
      </c>
      <c r="R443" s="146" t="s">
        <v>1</v>
      </c>
      <c r="S443" s="146" t="s">
        <v>21</v>
      </c>
      <c r="T443" s="146" t="s">
        <v>1</v>
      </c>
      <c r="U443" s="223" t="s">
        <v>21</v>
      </c>
    </row>
    <row r="444" spans="1:21" ht="10.8" customHeight="1">
      <c r="A444" s="1"/>
      <c r="B444" s="296" t="s">
        <v>7</v>
      </c>
      <c r="C444" s="155" t="s">
        <v>1</v>
      </c>
      <c r="D444" s="149" t="s">
        <v>1</v>
      </c>
      <c r="E444" s="259">
        <v>139</v>
      </c>
      <c r="F444" s="149" t="s">
        <v>1</v>
      </c>
      <c r="G444" s="259">
        <v>217</v>
      </c>
      <c r="H444" s="149" t="s">
        <v>1</v>
      </c>
      <c r="I444" s="259">
        <v>326</v>
      </c>
      <c r="J444" s="149" t="s">
        <v>1</v>
      </c>
      <c r="K444" s="259">
        <v>502</v>
      </c>
      <c r="L444" s="149" t="s">
        <v>1</v>
      </c>
      <c r="M444" s="259">
        <v>608</v>
      </c>
      <c r="N444" s="149" t="s">
        <v>1</v>
      </c>
      <c r="O444" s="259">
        <v>734</v>
      </c>
      <c r="P444" s="149" t="s">
        <v>1</v>
      </c>
      <c r="Q444" s="259">
        <v>911</v>
      </c>
      <c r="R444" s="149" t="s">
        <v>1</v>
      </c>
      <c r="S444" s="149" t="s">
        <v>21</v>
      </c>
      <c r="T444" s="149" t="s">
        <v>1</v>
      </c>
      <c r="U444" s="225" t="s">
        <v>21</v>
      </c>
    </row>
    <row r="445" spans="1:21" ht="10.5" customHeight="1">
      <c r="A445" s="58">
        <v>90</v>
      </c>
      <c r="B445" s="329" t="s">
        <v>2</v>
      </c>
      <c r="C445" s="153" t="s">
        <v>1</v>
      </c>
      <c r="D445" s="85" t="s">
        <v>1</v>
      </c>
      <c r="E445" s="262">
        <v>40.200000000000003</v>
      </c>
      <c r="F445" s="85" t="s">
        <v>1</v>
      </c>
      <c r="G445" s="262">
        <v>59.1</v>
      </c>
      <c r="H445" s="85" t="s">
        <v>1</v>
      </c>
      <c r="I445" s="262">
        <v>74.8</v>
      </c>
      <c r="J445" s="85" t="s">
        <v>1</v>
      </c>
      <c r="K445" s="237">
        <v>118</v>
      </c>
      <c r="L445" s="85" t="s">
        <v>1</v>
      </c>
      <c r="M445" s="237">
        <v>159</v>
      </c>
      <c r="N445" s="85" t="s">
        <v>1</v>
      </c>
      <c r="O445" s="85" t="s">
        <v>1</v>
      </c>
      <c r="P445" s="85" t="s">
        <v>1</v>
      </c>
      <c r="Q445" s="85" t="s">
        <v>1</v>
      </c>
      <c r="R445" s="85" t="s">
        <v>1</v>
      </c>
      <c r="S445" s="85" t="s">
        <v>1</v>
      </c>
      <c r="T445" s="85" t="s">
        <v>1</v>
      </c>
      <c r="U445" s="221" t="s">
        <v>1</v>
      </c>
    </row>
    <row r="446" spans="1:21" ht="9" customHeight="1">
      <c r="A446" s="1"/>
      <c r="B446" s="296" t="s">
        <v>3</v>
      </c>
      <c r="C446" s="154" t="s">
        <v>1</v>
      </c>
      <c r="D446" s="146" t="s">
        <v>1</v>
      </c>
      <c r="E446" s="320">
        <v>85.3</v>
      </c>
      <c r="F446" s="146" t="s">
        <v>1</v>
      </c>
      <c r="G446" s="258">
        <v>125</v>
      </c>
      <c r="H446" s="146" t="s">
        <v>1</v>
      </c>
      <c r="I446" s="258">
        <v>166</v>
      </c>
      <c r="J446" s="146" t="s">
        <v>1</v>
      </c>
      <c r="K446" s="258">
        <v>291</v>
      </c>
      <c r="L446" s="146" t="s">
        <v>1</v>
      </c>
      <c r="M446" s="258">
        <v>386</v>
      </c>
      <c r="N446" s="146" t="s">
        <v>1</v>
      </c>
      <c r="O446" s="146" t="s">
        <v>1</v>
      </c>
      <c r="P446" s="146" t="s">
        <v>1</v>
      </c>
      <c r="Q446" s="146" t="s">
        <v>1</v>
      </c>
      <c r="R446" s="146" t="s">
        <v>1</v>
      </c>
      <c r="S446" s="146" t="s">
        <v>1</v>
      </c>
      <c r="T446" s="146" t="s">
        <v>1</v>
      </c>
      <c r="U446" s="223" t="s">
        <v>1</v>
      </c>
    </row>
    <row r="447" spans="1:21" ht="9.3000000000000007" customHeight="1">
      <c r="A447" s="1"/>
      <c r="B447" s="296" t="s">
        <v>5</v>
      </c>
      <c r="C447" s="154" t="s">
        <v>1</v>
      </c>
      <c r="D447" s="146" t="s">
        <v>1</v>
      </c>
      <c r="E447" s="320">
        <v>85.9</v>
      </c>
      <c r="F447" s="146" t="s">
        <v>1</v>
      </c>
      <c r="G447" s="258">
        <v>141</v>
      </c>
      <c r="H447" s="146" t="s">
        <v>1</v>
      </c>
      <c r="I447" s="258">
        <v>212</v>
      </c>
      <c r="J447" s="146" t="s">
        <v>1</v>
      </c>
      <c r="K447" s="258">
        <v>305</v>
      </c>
      <c r="L447" s="146" t="s">
        <v>1</v>
      </c>
      <c r="M447" s="258">
        <v>355</v>
      </c>
      <c r="N447" s="146" t="s">
        <v>1</v>
      </c>
      <c r="O447" s="146" t="s">
        <v>1</v>
      </c>
      <c r="P447" s="146" t="s">
        <v>1</v>
      </c>
      <c r="Q447" s="146" t="s">
        <v>1</v>
      </c>
      <c r="R447" s="146" t="s">
        <v>1</v>
      </c>
      <c r="S447" s="146" t="s">
        <v>1</v>
      </c>
      <c r="T447" s="146" t="s">
        <v>1</v>
      </c>
      <c r="U447" s="223" t="s">
        <v>1</v>
      </c>
    </row>
    <row r="448" spans="1:21" ht="10.8" customHeight="1">
      <c r="A448" s="392"/>
      <c r="B448" s="387" t="s">
        <v>7</v>
      </c>
      <c r="C448" s="378" t="s">
        <v>1</v>
      </c>
      <c r="D448" s="379" t="s">
        <v>1</v>
      </c>
      <c r="E448" s="371">
        <v>127</v>
      </c>
      <c r="F448" s="379" t="s">
        <v>1</v>
      </c>
      <c r="G448" s="371">
        <v>201</v>
      </c>
      <c r="H448" s="379" t="s">
        <v>1</v>
      </c>
      <c r="I448" s="371">
        <v>293</v>
      </c>
      <c r="J448" s="379" t="s">
        <v>1</v>
      </c>
      <c r="K448" s="371">
        <v>461</v>
      </c>
      <c r="L448" s="379" t="s">
        <v>1</v>
      </c>
      <c r="M448" s="371">
        <v>562</v>
      </c>
      <c r="N448" s="379" t="s">
        <v>1</v>
      </c>
      <c r="O448" s="379" t="s">
        <v>1</v>
      </c>
      <c r="P448" s="379" t="s">
        <v>1</v>
      </c>
      <c r="Q448" s="379" t="s">
        <v>1</v>
      </c>
      <c r="R448" s="379" t="s">
        <v>1</v>
      </c>
      <c r="S448" s="379" t="s">
        <v>1</v>
      </c>
      <c r="T448" s="379" t="s">
        <v>1</v>
      </c>
      <c r="U448" s="380" t="s">
        <v>1</v>
      </c>
    </row>
  </sheetData>
  <mergeCells count="95">
    <mergeCell ref="A77:M77"/>
    <mergeCell ref="A78:A79"/>
    <mergeCell ref="A134:W134"/>
    <mergeCell ref="A375:B376"/>
    <mergeCell ref="C375:U375"/>
    <mergeCell ref="A135:B136"/>
    <mergeCell ref="C135:U135"/>
    <mergeCell ref="A214:W214"/>
    <mergeCell ref="A215:B216"/>
    <mergeCell ref="C215:U215"/>
    <mergeCell ref="A294:W294"/>
    <mergeCell ref="A295:B296"/>
    <mergeCell ref="C295:U295"/>
    <mergeCell ref="A374:W374"/>
    <mergeCell ref="B71:C71"/>
    <mergeCell ref="B72:C72"/>
    <mergeCell ref="B73:C73"/>
    <mergeCell ref="B74:C74"/>
    <mergeCell ref="B75:C75"/>
    <mergeCell ref="B70:C70"/>
    <mergeCell ref="B59:C59"/>
    <mergeCell ref="B60:C60"/>
    <mergeCell ref="B61:C61"/>
    <mergeCell ref="B62:C62"/>
    <mergeCell ref="B63:C63"/>
    <mergeCell ref="B64:C64"/>
    <mergeCell ref="B65:C65"/>
    <mergeCell ref="B66:C66"/>
    <mergeCell ref="B67:C67"/>
    <mergeCell ref="B68:C68"/>
    <mergeCell ref="B69:C6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28:C28"/>
    <mergeCell ref="B41:C41"/>
    <mergeCell ref="B42:C42"/>
    <mergeCell ref="B43:C43"/>
    <mergeCell ref="B44:C44"/>
    <mergeCell ref="B32:C32"/>
    <mergeCell ref="B33:C33"/>
    <mergeCell ref="B34:C3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211"/>
  <sheetViews>
    <sheetView topLeftCell="A182" zoomScale="85" zoomScaleNormal="85" workbookViewId="0">
      <selection activeCell="O205" sqref="O205"/>
    </sheetView>
  </sheetViews>
  <sheetFormatPr defaultRowHeight="13.2"/>
  <sheetData>
    <row r="1" spans="1:28" ht="33.75" customHeight="1">
      <c r="A1" s="449" t="s">
        <v>468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</row>
    <row r="2" spans="1:28" ht="12.75" customHeight="1">
      <c r="A2" s="450" t="s">
        <v>11</v>
      </c>
      <c r="B2" s="496" t="s">
        <v>12</v>
      </c>
      <c r="C2" s="496"/>
      <c r="D2" s="498" t="s">
        <v>13</v>
      </c>
      <c r="E2" s="473" t="s">
        <v>14</v>
      </c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</row>
    <row r="3" spans="1:28" ht="12" customHeight="1">
      <c r="A3" s="452"/>
      <c r="B3" s="497"/>
      <c r="C3" s="497"/>
      <c r="D3" s="499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68">
        <v>1800</v>
      </c>
      <c r="C4" s="468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427" t="s">
        <v>772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65">
        <v>1500</v>
      </c>
      <c r="C5" s="465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65">
        <v>1200</v>
      </c>
      <c r="C6" s="465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67">
        <v>1000</v>
      </c>
      <c r="C7" s="467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68">
        <v>1800</v>
      </c>
      <c r="C8" s="468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65">
        <v>1500</v>
      </c>
      <c r="C9" s="465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65">
        <v>1200</v>
      </c>
      <c r="C10" s="465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67">
        <v>1000</v>
      </c>
      <c r="C11" s="467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68">
        <v>1800</v>
      </c>
      <c r="C12" s="468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65">
        <v>1500</v>
      </c>
      <c r="C13" s="465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65">
        <v>1200</v>
      </c>
      <c r="C14" s="465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67">
        <v>1000</v>
      </c>
      <c r="C15" s="467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68">
        <v>1800</v>
      </c>
      <c r="C16" s="468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65">
        <v>1500</v>
      </c>
      <c r="C17" s="465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65">
        <v>1200</v>
      </c>
      <c r="C18" s="465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67">
        <v>1000</v>
      </c>
      <c r="C19" s="467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68">
        <v>1800</v>
      </c>
      <c r="C20" s="468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65">
        <v>1500</v>
      </c>
      <c r="C21" s="465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65">
        <v>1200</v>
      </c>
      <c r="C22" s="465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67">
        <v>1000</v>
      </c>
      <c r="C23" s="467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68">
        <v>1800</v>
      </c>
      <c r="C24" s="468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65">
        <v>1500</v>
      </c>
      <c r="C25" s="465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65">
        <v>1200</v>
      </c>
      <c r="C26" s="465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67">
        <v>1000</v>
      </c>
      <c r="C27" s="467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68">
        <v>1800</v>
      </c>
      <c r="C28" s="468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65">
        <v>1500</v>
      </c>
      <c r="C29" s="465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65">
        <v>1200</v>
      </c>
      <c r="C30" s="465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67">
        <v>1000</v>
      </c>
      <c r="C31" s="467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68">
        <v>1800</v>
      </c>
      <c r="C32" s="468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65">
        <v>1500</v>
      </c>
      <c r="C33" s="465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65">
        <v>1200</v>
      </c>
      <c r="C34" s="465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67">
        <v>1000</v>
      </c>
      <c r="C35" s="467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68">
        <v>1800</v>
      </c>
      <c r="C36" s="468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65">
        <v>1500</v>
      </c>
      <c r="C37" s="465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65">
        <v>1200</v>
      </c>
      <c r="C38" s="465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67">
        <v>1000</v>
      </c>
      <c r="C39" s="467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68">
        <v>1800</v>
      </c>
      <c r="C40" s="468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65">
        <v>1500</v>
      </c>
      <c r="C41" s="465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65">
        <v>1200</v>
      </c>
      <c r="C42" s="465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67">
        <v>1000</v>
      </c>
      <c r="C43" s="467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68">
        <v>1800</v>
      </c>
      <c r="C44" s="468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65">
        <v>1500</v>
      </c>
      <c r="C45" s="465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65">
        <v>1200</v>
      </c>
      <c r="C46" s="465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67">
        <v>1000</v>
      </c>
      <c r="C47" s="467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68">
        <v>1800</v>
      </c>
      <c r="C48" s="468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65">
        <v>1500</v>
      </c>
      <c r="C49" s="465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65">
        <v>1200</v>
      </c>
      <c r="C50" s="465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67">
        <v>1000</v>
      </c>
      <c r="C51" s="467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68">
        <v>1800</v>
      </c>
      <c r="C52" s="468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65">
        <v>1500</v>
      </c>
      <c r="C53" s="465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65">
        <v>1200</v>
      </c>
      <c r="C54" s="465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67">
        <v>1000</v>
      </c>
      <c r="C55" s="467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68">
        <v>1800</v>
      </c>
      <c r="C56" s="468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65">
        <v>1500</v>
      </c>
      <c r="C57" s="465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65">
        <v>1200</v>
      </c>
      <c r="C58" s="465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67">
        <v>1000</v>
      </c>
      <c r="C59" s="467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68">
        <v>1800</v>
      </c>
      <c r="C60" s="468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65">
        <v>1500</v>
      </c>
      <c r="C61" s="465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65">
        <v>1200</v>
      </c>
      <c r="C62" s="465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2"/>
      <c r="B63" s="466">
        <v>1000</v>
      </c>
      <c r="C63" s="466"/>
      <c r="D63" s="388">
        <v>2.5</v>
      </c>
      <c r="E63" s="378" t="s">
        <v>1</v>
      </c>
      <c r="F63" s="397">
        <v>3.7</v>
      </c>
      <c r="G63" s="379" t="s">
        <v>1</v>
      </c>
      <c r="H63" s="397">
        <v>6.6</v>
      </c>
      <c r="I63" s="379" t="s">
        <v>1</v>
      </c>
      <c r="J63" s="371">
        <v>11</v>
      </c>
      <c r="K63" s="379" t="s">
        <v>1</v>
      </c>
      <c r="L63" s="372">
        <v>19</v>
      </c>
      <c r="M63" s="378" t="s">
        <v>1</v>
      </c>
      <c r="N63" s="371">
        <v>29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ht="12" customHeight="1">
      <c r="A64" s="344"/>
      <c r="B64" s="345"/>
      <c r="C64" s="345"/>
      <c r="D64" s="346"/>
      <c r="E64" s="345"/>
      <c r="F64" s="345"/>
      <c r="G64" s="345"/>
      <c r="H64" s="345"/>
      <c r="I64" s="345"/>
      <c r="J64" s="345"/>
      <c r="K64" s="345"/>
      <c r="L64" s="345"/>
      <c r="M64" s="345"/>
      <c r="N64" s="345"/>
      <c r="O64" s="345"/>
      <c r="P64" s="345"/>
      <c r="Q64" s="345"/>
      <c r="R64" s="345"/>
      <c r="S64" s="345"/>
      <c r="T64" s="345"/>
      <c r="U64" s="345"/>
      <c r="V64" s="345"/>
      <c r="W64" s="345"/>
      <c r="X64" s="345"/>
      <c r="Y64" s="345"/>
      <c r="Z64" s="345"/>
      <c r="AA64" s="345"/>
      <c r="AB64" s="345"/>
    </row>
    <row r="65" spans="1:28" ht="12" customHeight="1">
      <c r="A65" s="344"/>
      <c r="B65" s="345"/>
      <c r="C65" s="345"/>
      <c r="D65" s="346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  <c r="X65" s="345"/>
      <c r="Y65" s="345"/>
      <c r="Z65" s="345"/>
      <c r="AA65" s="345"/>
      <c r="AB65" s="345"/>
    </row>
    <row r="66" spans="1:28" ht="12" customHeight="1">
      <c r="A66" s="344"/>
      <c r="B66" s="345"/>
      <c r="C66" s="345"/>
      <c r="D66" s="346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  <c r="X66" s="345"/>
      <c r="Y66" s="345"/>
      <c r="Z66" s="345"/>
      <c r="AA66" s="345"/>
      <c r="AB66" s="345"/>
    </row>
    <row r="67" spans="1:28" ht="12" customHeight="1">
      <c r="A67" s="344"/>
      <c r="B67" s="345"/>
      <c r="C67" s="345"/>
      <c r="D67" s="346"/>
      <c r="E67" s="345"/>
      <c r="F67" s="345"/>
      <c r="G67" s="345"/>
      <c r="H67" s="345"/>
      <c r="I67" s="345"/>
      <c r="J67" s="345"/>
      <c r="K67" s="345"/>
      <c r="L67" s="345"/>
      <c r="M67" s="345"/>
      <c r="N67" s="345"/>
      <c r="O67" s="345"/>
      <c r="P67" s="345"/>
      <c r="Q67" s="345"/>
      <c r="R67" s="345"/>
      <c r="S67" s="345"/>
      <c r="T67" s="345"/>
      <c r="U67" s="345"/>
      <c r="V67" s="345"/>
      <c r="W67" s="345"/>
      <c r="X67" s="345"/>
      <c r="Y67" s="345"/>
      <c r="Z67" s="345"/>
      <c r="AA67" s="345"/>
      <c r="AB67" s="345"/>
    </row>
    <row r="68" spans="1:28" ht="12" customHeight="1">
      <c r="A68" s="344"/>
      <c r="B68" s="345"/>
      <c r="C68" s="345"/>
      <c r="D68" s="346"/>
      <c r="E68" s="345"/>
      <c r="F68" s="345"/>
      <c r="G68" s="345"/>
      <c r="H68" s="345"/>
      <c r="I68" s="345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</row>
    <row r="69" spans="1:28" ht="12" customHeight="1">
      <c r="A69" s="344"/>
      <c r="B69" s="345"/>
      <c r="C69" s="345"/>
      <c r="D69" s="346"/>
      <c r="E69" s="345"/>
      <c r="F69" s="345"/>
      <c r="G69" s="345"/>
      <c r="H69" s="345"/>
      <c r="I69" s="345"/>
      <c r="J69" s="345"/>
      <c r="K69" s="345"/>
      <c r="L69" s="345"/>
      <c r="M69" s="345"/>
      <c r="N69" s="345"/>
      <c r="O69" s="345"/>
      <c r="P69" s="345"/>
      <c r="Q69" s="345"/>
      <c r="R69" s="345"/>
      <c r="S69" s="345"/>
      <c r="T69" s="345"/>
      <c r="U69" s="345"/>
      <c r="V69" s="345"/>
      <c r="W69" s="345"/>
      <c r="X69" s="345"/>
      <c r="Y69" s="345"/>
      <c r="Z69" s="345"/>
      <c r="AA69" s="345"/>
      <c r="AB69" s="345"/>
    </row>
    <row r="70" spans="1:28" ht="12" customHeight="1">
      <c r="A70" s="344"/>
      <c r="B70" s="345"/>
      <c r="C70" s="345"/>
      <c r="D70" s="346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  <c r="U70" s="345"/>
      <c r="V70" s="345"/>
      <c r="W70" s="345"/>
      <c r="X70" s="345"/>
      <c r="Y70" s="345"/>
      <c r="Z70" s="345"/>
      <c r="AA70" s="345"/>
      <c r="AB70" s="345"/>
    </row>
    <row r="71" spans="1:28" ht="12" customHeight="1">
      <c r="A71" s="344"/>
      <c r="B71" s="345"/>
      <c r="C71" s="345"/>
      <c r="D71" s="346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345"/>
      <c r="AA71" s="345"/>
      <c r="AB71" s="345"/>
    </row>
    <row r="72" spans="1:28" ht="12" customHeight="1">
      <c r="A72" s="344"/>
      <c r="B72" s="345"/>
      <c r="C72" s="345"/>
      <c r="D72" s="346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  <c r="V72" s="345"/>
      <c r="W72" s="345"/>
      <c r="X72" s="345"/>
      <c r="Y72" s="345"/>
      <c r="Z72" s="345"/>
      <c r="AA72" s="345"/>
      <c r="AB72" s="345"/>
    </row>
    <row r="73" spans="1:28" ht="12" customHeight="1">
      <c r="A73" s="344"/>
      <c r="B73" s="345"/>
      <c r="C73" s="345"/>
      <c r="D73" s="346"/>
      <c r="E73" s="345"/>
      <c r="F73" s="345"/>
      <c r="G73" s="345"/>
      <c r="H73" s="345"/>
      <c r="I73" s="345"/>
      <c r="J73" s="345"/>
      <c r="K73" s="345"/>
      <c r="L73" s="345"/>
      <c r="M73" s="345"/>
      <c r="N73" s="345"/>
      <c r="O73" s="345"/>
      <c r="P73" s="345"/>
      <c r="Q73" s="345"/>
      <c r="R73" s="345"/>
      <c r="S73" s="345"/>
      <c r="T73" s="345"/>
      <c r="U73" s="345"/>
      <c r="V73" s="345"/>
      <c r="W73" s="345"/>
      <c r="X73" s="345"/>
      <c r="Y73" s="345"/>
      <c r="Z73" s="345"/>
      <c r="AA73" s="345"/>
      <c r="AB73" s="345"/>
    </row>
    <row r="74" spans="1:28" ht="12" customHeight="1">
      <c r="A74" s="344"/>
      <c r="B74" s="345"/>
      <c r="C74" s="345"/>
      <c r="D74" s="346"/>
      <c r="E74" s="345"/>
      <c r="F74" s="345"/>
      <c r="G74" s="345"/>
      <c r="H74" s="345"/>
      <c r="I74" s="345"/>
      <c r="J74" s="345"/>
      <c r="K74" s="345"/>
      <c r="L74" s="345"/>
      <c r="M74" s="345"/>
      <c r="N74" s="345"/>
      <c r="O74" s="345"/>
      <c r="P74" s="345"/>
      <c r="Q74" s="345"/>
      <c r="R74" s="345"/>
      <c r="S74" s="345"/>
      <c r="T74" s="345"/>
      <c r="U74" s="345"/>
      <c r="V74" s="345"/>
      <c r="W74" s="345"/>
      <c r="X74" s="345"/>
      <c r="Y74" s="345"/>
      <c r="Z74" s="345"/>
      <c r="AA74" s="345"/>
      <c r="AB74" s="345"/>
    </row>
    <row r="75" spans="1:28" ht="12" customHeight="1">
      <c r="A75" s="344"/>
      <c r="B75" s="345"/>
      <c r="C75" s="345"/>
      <c r="D75" s="346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</row>
    <row r="77" spans="1:28" ht="36.75" customHeight="1">
      <c r="A77" s="449" t="s">
        <v>513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</row>
    <row r="78" spans="1:28" ht="12.3" customHeight="1">
      <c r="A78" s="478" t="s">
        <v>69</v>
      </c>
      <c r="B78" s="473" t="s">
        <v>14</v>
      </c>
      <c r="C78" s="474"/>
      <c r="D78" s="474"/>
      <c r="E78" s="474"/>
      <c r="F78" s="474"/>
      <c r="G78" s="474"/>
      <c r="H78" s="474"/>
      <c r="I78" s="474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</row>
    <row r="79" spans="1:28" ht="12" customHeight="1">
      <c r="A79" s="479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93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94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94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94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94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94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94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95"/>
    </row>
    <row r="88" spans="1:27" ht="12.3" customHeight="1">
      <c r="A88" s="332">
        <v>12.5</v>
      </c>
      <c r="B88" s="341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1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7" t="s">
        <v>1</v>
      </c>
      <c r="S88" s="235">
        <v>340</v>
      </c>
      <c r="T88" s="337" t="s">
        <v>1</v>
      </c>
      <c r="U88" s="337" t="s">
        <v>1</v>
      </c>
      <c r="V88" s="337" t="s">
        <v>1</v>
      </c>
      <c r="W88" s="337" t="s">
        <v>1</v>
      </c>
      <c r="X88" s="337" t="s">
        <v>1</v>
      </c>
      <c r="Y88" s="337" t="s">
        <v>1</v>
      </c>
      <c r="Z88" s="337" t="s">
        <v>1</v>
      </c>
      <c r="AA88" s="491" t="s">
        <v>336</v>
      </c>
    </row>
    <row r="89" spans="1:27" ht="12" customHeight="1">
      <c r="A89" s="216">
        <v>14</v>
      </c>
      <c r="B89" s="342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1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7" t="s">
        <v>1</v>
      </c>
      <c r="V89" s="337" t="s">
        <v>1</v>
      </c>
      <c r="W89" s="337" t="s">
        <v>1</v>
      </c>
      <c r="X89" s="337" t="s">
        <v>1</v>
      </c>
      <c r="Y89" s="337" t="s">
        <v>1</v>
      </c>
      <c r="Z89" s="337" t="s">
        <v>1</v>
      </c>
      <c r="AA89" s="492"/>
    </row>
    <row r="90" spans="1:27" ht="12.3" customHeight="1">
      <c r="A90" s="216">
        <v>16</v>
      </c>
      <c r="B90" s="341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1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7" t="s">
        <v>1</v>
      </c>
      <c r="V90" s="337" t="s">
        <v>1</v>
      </c>
      <c r="W90" s="337" t="s">
        <v>1</v>
      </c>
      <c r="X90" s="337" t="s">
        <v>1</v>
      </c>
      <c r="Y90" s="337" t="s">
        <v>1</v>
      </c>
      <c r="Z90" s="337" t="s">
        <v>1</v>
      </c>
      <c r="AA90" s="492"/>
    </row>
    <row r="91" spans="1:27" ht="12" customHeight="1">
      <c r="A91" s="216">
        <v>18</v>
      </c>
      <c r="B91" s="341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1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7" t="s">
        <v>1</v>
      </c>
      <c r="V91" s="337" t="s">
        <v>1</v>
      </c>
      <c r="W91" s="337" t="s">
        <v>1</v>
      </c>
      <c r="X91" s="337" t="s">
        <v>1</v>
      </c>
      <c r="Y91" s="337" t="s">
        <v>1</v>
      </c>
      <c r="Z91" s="337" t="s">
        <v>1</v>
      </c>
      <c r="AA91" s="492"/>
    </row>
    <row r="92" spans="1:27" ht="12.3" customHeight="1">
      <c r="A92" s="216">
        <v>20</v>
      </c>
      <c r="B92" s="341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1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7" t="s">
        <v>1</v>
      </c>
      <c r="W92" s="235">
        <v>860</v>
      </c>
      <c r="X92" s="337" t="s">
        <v>1</v>
      </c>
      <c r="Y92" s="235">
        <v>1230</v>
      </c>
      <c r="Z92" s="337" t="s">
        <v>1</v>
      </c>
      <c r="AA92" s="492"/>
    </row>
    <row r="93" spans="1:27" ht="12" customHeight="1">
      <c r="A93" s="332">
        <v>22.4</v>
      </c>
      <c r="B93" s="341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1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92"/>
    </row>
    <row r="94" spans="1:27" ht="12.3" customHeight="1">
      <c r="A94" s="216">
        <v>25</v>
      </c>
      <c r="B94" s="341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1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92"/>
    </row>
    <row r="95" spans="1:27" ht="12" customHeight="1">
      <c r="A95" s="216">
        <v>28</v>
      </c>
      <c r="B95" s="341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1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92"/>
    </row>
    <row r="96" spans="1:27" ht="12.3" customHeight="1">
      <c r="A96" s="332">
        <v>31.5</v>
      </c>
      <c r="B96" s="341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1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92"/>
    </row>
    <row r="97" spans="1:27" ht="12" customHeight="1">
      <c r="A97" s="332">
        <v>35.5</v>
      </c>
      <c r="B97" s="341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1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92"/>
    </row>
    <row r="98" spans="1:27" ht="12.3" customHeight="1">
      <c r="A98" s="216">
        <v>40</v>
      </c>
      <c r="B98" s="341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1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92"/>
    </row>
    <row r="99" spans="1:27" ht="12" customHeight="1">
      <c r="A99" s="216">
        <v>45</v>
      </c>
      <c r="B99" s="341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1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92"/>
    </row>
    <row r="100" spans="1:27" ht="12.3" customHeight="1">
      <c r="A100" s="216">
        <v>50</v>
      </c>
      <c r="B100" s="341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1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92"/>
    </row>
    <row r="101" spans="1:27" ht="12" customHeight="1">
      <c r="A101" s="216">
        <v>56</v>
      </c>
      <c r="B101" s="341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1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92"/>
    </row>
    <row r="102" spans="1:27" ht="12.3" customHeight="1">
      <c r="A102" s="216">
        <v>63</v>
      </c>
      <c r="B102" s="341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1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92"/>
    </row>
    <row r="103" spans="1:27" ht="12" customHeight="1">
      <c r="A103" s="216">
        <v>71</v>
      </c>
      <c r="B103" s="341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1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92"/>
    </row>
    <row r="104" spans="1:27" ht="12.3" customHeight="1">
      <c r="A104" s="216">
        <v>80</v>
      </c>
      <c r="B104" s="343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89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92"/>
    </row>
    <row r="105" spans="1:27" ht="12" customHeight="1">
      <c r="A105" s="216">
        <v>90</v>
      </c>
      <c r="B105" s="343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89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90" t="s">
        <v>563</v>
      </c>
    </row>
    <row r="106" spans="1:27" ht="12.3" customHeight="1">
      <c r="A106" s="216">
        <v>100</v>
      </c>
      <c r="B106" s="343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89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90"/>
    </row>
    <row r="107" spans="1:27" ht="12" customHeight="1">
      <c r="A107" s="216">
        <v>112</v>
      </c>
      <c r="B107" s="343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89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90"/>
    </row>
    <row r="108" spans="1:27" ht="12.3" customHeight="1">
      <c r="A108" s="216">
        <v>125</v>
      </c>
      <c r="B108" s="343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89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90"/>
    </row>
    <row r="109" spans="1:27" ht="12" customHeight="1">
      <c r="A109" s="216">
        <v>140</v>
      </c>
      <c r="B109" s="343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89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90"/>
    </row>
    <row r="110" spans="1:27" ht="12.3" customHeight="1">
      <c r="A110" s="216">
        <v>160</v>
      </c>
      <c r="B110" s="343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89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90"/>
    </row>
    <row r="111" spans="1:27" ht="12" customHeight="1">
      <c r="A111" s="216">
        <v>180</v>
      </c>
      <c r="B111" s="343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89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90"/>
    </row>
    <row r="112" spans="1:27" ht="12.3" customHeight="1">
      <c r="A112" s="216">
        <v>200</v>
      </c>
      <c r="B112" s="343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89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90"/>
    </row>
    <row r="113" spans="1:27" ht="12" customHeight="1">
      <c r="A113" s="216">
        <v>224</v>
      </c>
      <c r="B113" s="343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89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90"/>
    </row>
    <row r="114" spans="1:27" ht="12.3" customHeight="1">
      <c r="A114" s="216">
        <v>250</v>
      </c>
      <c r="B114" s="343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89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90"/>
    </row>
    <row r="115" spans="1:27" ht="12" customHeight="1">
      <c r="A115" s="216">
        <v>280</v>
      </c>
      <c r="B115" s="343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89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90"/>
    </row>
    <row r="116" spans="1:27" ht="12.3" customHeight="1">
      <c r="A116" s="216">
        <v>315</v>
      </c>
      <c r="B116" s="343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89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90"/>
    </row>
    <row r="117" spans="1:27" ht="12.3" customHeight="1">
      <c r="A117" s="216">
        <v>355</v>
      </c>
      <c r="B117" s="343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3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90"/>
    </row>
    <row r="118" spans="1:27" ht="12" customHeight="1">
      <c r="A118" s="361">
        <v>400</v>
      </c>
      <c r="B118" s="399" t="s">
        <v>1</v>
      </c>
      <c r="C118" s="398" t="s">
        <v>1</v>
      </c>
      <c r="D118" s="400">
        <v>14.5</v>
      </c>
      <c r="E118" s="398" t="s">
        <v>1</v>
      </c>
      <c r="F118" s="400">
        <v>25.5</v>
      </c>
      <c r="G118" s="398" t="s">
        <v>1</v>
      </c>
      <c r="H118" s="401">
        <v>43</v>
      </c>
      <c r="I118" s="398" t="s">
        <v>1</v>
      </c>
      <c r="J118" s="401">
        <v>75</v>
      </c>
      <c r="K118" s="399" t="s">
        <v>1</v>
      </c>
      <c r="L118" s="401">
        <v>113</v>
      </c>
      <c r="M118" s="398" t="s">
        <v>1</v>
      </c>
      <c r="N118" s="398" t="s">
        <v>1</v>
      </c>
      <c r="O118" s="398" t="s">
        <v>1</v>
      </c>
      <c r="P118" s="398" t="s">
        <v>1</v>
      </c>
      <c r="Q118" s="398" t="s">
        <v>1</v>
      </c>
      <c r="R118" s="398" t="s">
        <v>1</v>
      </c>
      <c r="S118" s="398" t="s">
        <v>1</v>
      </c>
      <c r="T118" s="398" t="s">
        <v>1</v>
      </c>
      <c r="U118" s="398" t="s">
        <v>1</v>
      </c>
      <c r="V118" s="398" t="s">
        <v>1</v>
      </c>
      <c r="W118" s="398" t="s">
        <v>1</v>
      </c>
      <c r="X118" s="398" t="s">
        <v>1</v>
      </c>
      <c r="Y118" s="398" t="s">
        <v>1</v>
      </c>
      <c r="Z118" s="398" t="s">
        <v>1</v>
      </c>
      <c r="AA118" s="490"/>
    </row>
    <row r="134" spans="1:22" ht="40.799999999999997" customHeight="1">
      <c r="A134" s="449" t="s">
        <v>515</v>
      </c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  <c r="U134" s="449"/>
      <c r="V134" s="449"/>
    </row>
    <row r="135" spans="1:22" ht="12.3" customHeight="1">
      <c r="A135" s="450" t="s">
        <v>69</v>
      </c>
      <c r="B135" s="451"/>
      <c r="C135" s="454" t="s">
        <v>14</v>
      </c>
      <c r="D135" s="455"/>
      <c r="E135" s="455"/>
      <c r="F135" s="455"/>
      <c r="G135" s="455"/>
      <c r="H135" s="455"/>
      <c r="I135" s="455"/>
      <c r="J135" s="455"/>
      <c r="K135" s="455"/>
      <c r="L135" s="455"/>
      <c r="M135" s="455"/>
      <c r="N135" s="455"/>
      <c r="O135" s="455"/>
      <c r="P135" s="455"/>
      <c r="Q135" s="455"/>
      <c r="R135" s="455"/>
      <c r="S135" s="455"/>
      <c r="T135" s="455"/>
    </row>
    <row r="136" spans="1:22" ht="9" customHeight="1">
      <c r="A136" s="452"/>
      <c r="B136" s="453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64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2" ht="12.3" customHeight="1">
      <c r="A137" s="73">
        <v>80</v>
      </c>
      <c r="B137" s="217" t="s">
        <v>2</v>
      </c>
      <c r="C137" s="323">
        <v>33.5</v>
      </c>
      <c r="D137" s="82" t="s">
        <v>1</v>
      </c>
      <c r="E137" s="30">
        <v>50.6</v>
      </c>
      <c r="F137" s="82" t="s">
        <v>1</v>
      </c>
      <c r="G137" s="30">
        <v>72.099999999999994</v>
      </c>
      <c r="H137" s="82" t="s">
        <v>1</v>
      </c>
      <c r="I137" s="236">
        <v>108</v>
      </c>
      <c r="J137" s="82" t="s">
        <v>1</v>
      </c>
      <c r="K137" s="236">
        <v>148</v>
      </c>
      <c r="L137" s="82" t="s">
        <v>1</v>
      </c>
      <c r="M137" s="236">
        <v>203</v>
      </c>
      <c r="N137" s="82" t="s">
        <v>1</v>
      </c>
      <c r="O137" s="236">
        <v>222</v>
      </c>
      <c r="P137" s="82" t="s">
        <v>1</v>
      </c>
      <c r="Q137" s="236">
        <v>285</v>
      </c>
      <c r="R137" s="82" t="s">
        <v>1</v>
      </c>
      <c r="S137" s="236">
        <v>370</v>
      </c>
      <c r="T137" s="324" t="s">
        <v>1</v>
      </c>
    </row>
    <row r="138" spans="1:22" ht="12" customHeight="1">
      <c r="A138" s="73">
        <v>90</v>
      </c>
      <c r="B138" s="217" t="s">
        <v>2</v>
      </c>
      <c r="C138" s="323">
        <v>32.700000000000003</v>
      </c>
      <c r="D138" s="82" t="s">
        <v>1</v>
      </c>
      <c r="E138" s="30">
        <v>49.1</v>
      </c>
      <c r="F138" s="82" t="s">
        <v>1</v>
      </c>
      <c r="G138" s="30">
        <v>70.599999999999994</v>
      </c>
      <c r="H138" s="82" t="s">
        <v>1</v>
      </c>
      <c r="I138" s="236">
        <v>104</v>
      </c>
      <c r="J138" s="82" t="s">
        <v>1</v>
      </c>
      <c r="K138" s="236">
        <v>144</v>
      </c>
      <c r="L138" s="82" t="s">
        <v>1</v>
      </c>
      <c r="M138" s="236">
        <v>196</v>
      </c>
      <c r="N138" s="236">
        <v>210</v>
      </c>
      <c r="O138" s="236">
        <v>215</v>
      </c>
      <c r="P138" s="236">
        <v>230</v>
      </c>
      <c r="Q138" s="236">
        <v>277</v>
      </c>
      <c r="R138" s="236">
        <v>295</v>
      </c>
      <c r="S138" s="236">
        <v>364</v>
      </c>
      <c r="T138" s="325">
        <v>379</v>
      </c>
    </row>
    <row r="139" spans="1:22" ht="12.3" customHeight="1">
      <c r="A139" s="73">
        <v>100</v>
      </c>
      <c r="B139" s="217" t="s">
        <v>2</v>
      </c>
      <c r="C139" s="323">
        <v>31.2</v>
      </c>
      <c r="D139" s="30">
        <v>36</v>
      </c>
      <c r="E139" s="30">
        <v>46.7</v>
      </c>
      <c r="F139" s="30">
        <v>54.5</v>
      </c>
      <c r="G139" s="30">
        <v>67.400000000000006</v>
      </c>
      <c r="H139" s="30">
        <v>73.5</v>
      </c>
      <c r="I139" s="236">
        <v>100</v>
      </c>
      <c r="J139" s="236">
        <v>120</v>
      </c>
      <c r="K139" s="236">
        <v>137</v>
      </c>
      <c r="L139" s="236">
        <v>159</v>
      </c>
      <c r="M139" s="236">
        <v>187</v>
      </c>
      <c r="N139" s="236">
        <v>203</v>
      </c>
      <c r="O139" s="236">
        <v>204</v>
      </c>
      <c r="P139" s="236">
        <v>222</v>
      </c>
      <c r="Q139" s="236">
        <v>266</v>
      </c>
      <c r="R139" s="236">
        <v>286</v>
      </c>
      <c r="S139" s="236">
        <v>351</v>
      </c>
      <c r="T139" s="325">
        <v>372</v>
      </c>
    </row>
    <row r="140" spans="1:22" ht="12" customHeight="1">
      <c r="A140" s="73">
        <v>112</v>
      </c>
      <c r="B140" s="217" t="s">
        <v>2</v>
      </c>
      <c r="C140" s="323">
        <v>30.1</v>
      </c>
      <c r="D140" s="30">
        <v>35.200000000000003</v>
      </c>
      <c r="E140" s="30">
        <v>45.1</v>
      </c>
      <c r="F140" s="30">
        <v>52.9</v>
      </c>
      <c r="G140" s="30">
        <v>65.3</v>
      </c>
      <c r="H140" s="30">
        <v>71.900000000000006</v>
      </c>
      <c r="I140" s="236">
        <v>96</v>
      </c>
      <c r="J140" s="236">
        <v>116</v>
      </c>
      <c r="K140" s="236">
        <v>131</v>
      </c>
      <c r="L140" s="236">
        <v>154</v>
      </c>
      <c r="M140" s="236">
        <v>179</v>
      </c>
      <c r="N140" s="236">
        <v>193</v>
      </c>
      <c r="O140" s="236">
        <v>196</v>
      </c>
      <c r="P140" s="236">
        <v>211</v>
      </c>
      <c r="Q140" s="236">
        <v>256</v>
      </c>
      <c r="R140" s="236">
        <v>274</v>
      </c>
      <c r="S140" s="236">
        <v>343</v>
      </c>
      <c r="T140" s="325">
        <v>358</v>
      </c>
    </row>
    <row r="141" spans="1:22" ht="12.3" customHeight="1">
      <c r="A141" s="73">
        <v>125</v>
      </c>
      <c r="B141" s="217" t="s">
        <v>2</v>
      </c>
      <c r="C141" s="323">
        <v>28.8</v>
      </c>
      <c r="D141" s="30">
        <v>33.6</v>
      </c>
      <c r="E141" s="30">
        <v>43.2</v>
      </c>
      <c r="F141" s="30">
        <v>50.3</v>
      </c>
      <c r="G141" s="30">
        <v>62.6</v>
      </c>
      <c r="H141" s="30">
        <v>68.599999999999994</v>
      </c>
      <c r="I141" s="236">
        <v>92</v>
      </c>
      <c r="J141" s="236">
        <v>112</v>
      </c>
      <c r="K141" s="236">
        <v>126</v>
      </c>
      <c r="L141" s="236">
        <v>147</v>
      </c>
      <c r="M141" s="236">
        <v>171</v>
      </c>
      <c r="N141" s="236">
        <v>185</v>
      </c>
      <c r="O141" s="236">
        <v>187</v>
      </c>
      <c r="P141" s="236">
        <v>203</v>
      </c>
      <c r="Q141" s="236">
        <v>246</v>
      </c>
      <c r="R141" s="236">
        <v>264</v>
      </c>
      <c r="S141" s="236">
        <v>327</v>
      </c>
      <c r="T141" s="325">
        <v>350</v>
      </c>
    </row>
    <row r="142" spans="1:22" ht="12" customHeight="1">
      <c r="A142" s="73">
        <v>140</v>
      </c>
      <c r="B142" s="217" t="s">
        <v>2</v>
      </c>
      <c r="C142" s="323">
        <v>27.4</v>
      </c>
      <c r="D142" s="30">
        <v>32.4</v>
      </c>
      <c r="E142" s="30">
        <v>41</v>
      </c>
      <c r="F142" s="30">
        <v>48.6</v>
      </c>
      <c r="G142" s="30">
        <v>59.2</v>
      </c>
      <c r="H142" s="30">
        <v>66.400000000000006</v>
      </c>
      <c r="I142" s="236">
        <v>87</v>
      </c>
      <c r="J142" s="236">
        <v>106</v>
      </c>
      <c r="K142" s="236">
        <v>120</v>
      </c>
      <c r="L142" s="236">
        <v>140</v>
      </c>
      <c r="M142" s="236">
        <v>165</v>
      </c>
      <c r="N142" s="236">
        <v>176</v>
      </c>
      <c r="O142" s="236">
        <v>181</v>
      </c>
      <c r="P142" s="236">
        <v>193</v>
      </c>
      <c r="Q142" s="236">
        <v>238</v>
      </c>
      <c r="R142" s="236">
        <v>253</v>
      </c>
      <c r="S142" s="236">
        <v>318</v>
      </c>
      <c r="T142" s="325">
        <v>334</v>
      </c>
    </row>
    <row r="143" spans="1:22" ht="12.3" customHeight="1">
      <c r="A143" s="73">
        <v>160</v>
      </c>
      <c r="B143" s="217" t="s">
        <v>2</v>
      </c>
      <c r="C143" s="323">
        <v>24.7</v>
      </c>
      <c r="D143" s="30">
        <v>31</v>
      </c>
      <c r="E143" s="30">
        <v>36.700000000000003</v>
      </c>
      <c r="F143" s="30">
        <v>46.5</v>
      </c>
      <c r="G143" s="30">
        <v>53.4</v>
      </c>
      <c r="H143" s="30">
        <v>63.7</v>
      </c>
      <c r="I143" s="236">
        <v>79</v>
      </c>
      <c r="J143" s="236">
        <v>102</v>
      </c>
      <c r="K143" s="236">
        <v>112</v>
      </c>
      <c r="L143" s="236">
        <v>135</v>
      </c>
      <c r="M143" s="236">
        <v>156</v>
      </c>
      <c r="N143" s="236">
        <v>170</v>
      </c>
      <c r="O143" s="236">
        <v>171</v>
      </c>
      <c r="P143" s="236">
        <v>187</v>
      </c>
      <c r="Q143" s="236">
        <v>227</v>
      </c>
      <c r="R143" s="236">
        <v>245</v>
      </c>
      <c r="S143" s="236">
        <v>304</v>
      </c>
      <c r="T143" s="325">
        <v>324</v>
      </c>
    </row>
    <row r="144" spans="1:22" ht="12" customHeight="1">
      <c r="A144" s="73">
        <v>180</v>
      </c>
      <c r="B144" s="217" t="s">
        <v>2</v>
      </c>
      <c r="C144" s="323">
        <v>24.1</v>
      </c>
      <c r="D144" s="30">
        <v>29.4</v>
      </c>
      <c r="E144" s="30">
        <v>35.700000000000003</v>
      </c>
      <c r="F144" s="30">
        <v>44.1</v>
      </c>
      <c r="G144" s="30">
        <v>51.8</v>
      </c>
      <c r="H144" s="30">
        <v>60.3</v>
      </c>
      <c r="I144" s="236">
        <v>76</v>
      </c>
      <c r="J144" s="236">
        <v>97</v>
      </c>
      <c r="K144" s="236">
        <v>106</v>
      </c>
      <c r="L144" s="236">
        <v>128</v>
      </c>
      <c r="M144" s="236">
        <v>147</v>
      </c>
      <c r="N144" s="236">
        <v>161</v>
      </c>
      <c r="O144" s="236">
        <v>161</v>
      </c>
      <c r="P144" s="236">
        <v>177</v>
      </c>
      <c r="Q144" s="236">
        <v>213</v>
      </c>
      <c r="R144" s="236">
        <v>234</v>
      </c>
      <c r="S144" s="236">
        <v>287</v>
      </c>
      <c r="T144" s="325">
        <v>310</v>
      </c>
    </row>
    <row r="145" spans="1:22" ht="12.3" customHeight="1">
      <c r="A145" s="73">
        <v>200</v>
      </c>
      <c r="B145" s="217" t="s">
        <v>2</v>
      </c>
      <c r="C145" s="323">
        <v>23.2</v>
      </c>
      <c r="D145" s="30">
        <v>26.6</v>
      </c>
      <c r="E145" s="30">
        <v>35</v>
      </c>
      <c r="F145" s="30">
        <v>39.5</v>
      </c>
      <c r="G145" s="30">
        <v>50.7</v>
      </c>
      <c r="H145" s="30">
        <v>54.4</v>
      </c>
      <c r="I145" s="236">
        <v>74</v>
      </c>
      <c r="J145" s="236">
        <v>87</v>
      </c>
      <c r="K145" s="236">
        <v>103</v>
      </c>
      <c r="L145" s="236">
        <v>120</v>
      </c>
      <c r="M145" s="236">
        <v>146</v>
      </c>
      <c r="N145" s="236">
        <v>151</v>
      </c>
      <c r="O145" s="236">
        <v>160</v>
      </c>
      <c r="P145" s="236">
        <v>167</v>
      </c>
      <c r="Q145" s="236">
        <v>214</v>
      </c>
      <c r="R145" s="236">
        <v>220</v>
      </c>
      <c r="S145" s="236">
        <v>298</v>
      </c>
      <c r="T145" s="325">
        <v>293</v>
      </c>
    </row>
    <row r="146" spans="1:22" ht="12" customHeight="1">
      <c r="A146" s="73">
        <v>224</v>
      </c>
      <c r="B146" s="217" t="s">
        <v>2</v>
      </c>
      <c r="C146" s="323">
        <v>21.6</v>
      </c>
      <c r="D146" s="30">
        <v>25.9</v>
      </c>
      <c r="E146" s="30">
        <v>32.5</v>
      </c>
      <c r="F146" s="30">
        <v>38.5</v>
      </c>
      <c r="G146" s="30">
        <v>47.2</v>
      </c>
      <c r="H146" s="30">
        <v>52.8</v>
      </c>
      <c r="I146" s="236">
        <v>69</v>
      </c>
      <c r="J146" s="236">
        <v>84</v>
      </c>
      <c r="K146" s="236">
        <v>96</v>
      </c>
      <c r="L146" s="236">
        <v>113</v>
      </c>
      <c r="M146" s="236">
        <v>136</v>
      </c>
      <c r="N146" s="236">
        <v>151</v>
      </c>
      <c r="O146" s="236">
        <v>149</v>
      </c>
      <c r="P146" s="236">
        <v>166</v>
      </c>
      <c r="Q146" s="236">
        <v>200</v>
      </c>
      <c r="R146" s="236">
        <v>220</v>
      </c>
      <c r="S146" s="236">
        <v>279</v>
      </c>
      <c r="T146" s="325">
        <v>304</v>
      </c>
    </row>
    <row r="147" spans="1:22" ht="12.3" customHeight="1">
      <c r="A147" s="73">
        <v>250</v>
      </c>
      <c r="B147" s="217" t="s">
        <v>2</v>
      </c>
      <c r="C147" s="323">
        <v>21.1</v>
      </c>
      <c r="D147" s="30">
        <v>24.9</v>
      </c>
      <c r="E147" s="30">
        <v>31.4</v>
      </c>
      <c r="F147" s="30">
        <v>37.6</v>
      </c>
      <c r="G147" s="30">
        <v>45.6</v>
      </c>
      <c r="H147" s="30">
        <v>51.6</v>
      </c>
      <c r="I147" s="236">
        <v>67</v>
      </c>
      <c r="J147" s="236">
        <v>82</v>
      </c>
      <c r="K147" s="236">
        <v>92</v>
      </c>
      <c r="L147" s="236">
        <v>110</v>
      </c>
      <c r="M147" s="236">
        <v>130</v>
      </c>
      <c r="N147" s="236">
        <v>140</v>
      </c>
      <c r="O147" s="236">
        <v>143</v>
      </c>
      <c r="P147" s="236">
        <v>154</v>
      </c>
      <c r="Q147" s="236">
        <v>192</v>
      </c>
      <c r="R147" s="236">
        <v>205</v>
      </c>
      <c r="S147" s="236">
        <v>268</v>
      </c>
      <c r="T147" s="325">
        <v>284</v>
      </c>
    </row>
    <row r="148" spans="1:22" ht="12" customHeight="1">
      <c r="A148" s="73">
        <v>280</v>
      </c>
      <c r="B148" s="217" t="s">
        <v>2</v>
      </c>
      <c r="C148" s="323">
        <v>20.100000000000001</v>
      </c>
      <c r="D148" s="30">
        <v>23.3</v>
      </c>
      <c r="E148" s="30">
        <v>29.9</v>
      </c>
      <c r="F148" s="30">
        <v>35.1</v>
      </c>
      <c r="G148" s="30">
        <v>43.5</v>
      </c>
      <c r="H148" s="30">
        <v>48.2</v>
      </c>
      <c r="I148" s="236">
        <v>64</v>
      </c>
      <c r="J148" s="236">
        <v>77</v>
      </c>
      <c r="K148" s="236">
        <v>87</v>
      </c>
      <c r="L148" s="236">
        <v>102</v>
      </c>
      <c r="M148" s="236">
        <v>121</v>
      </c>
      <c r="N148" s="236">
        <v>134</v>
      </c>
      <c r="O148" s="236">
        <v>134</v>
      </c>
      <c r="P148" s="236">
        <v>148</v>
      </c>
      <c r="Q148" s="236">
        <v>180</v>
      </c>
      <c r="R148" s="236">
        <v>197</v>
      </c>
      <c r="S148" s="236">
        <v>255</v>
      </c>
      <c r="T148" s="325">
        <v>273</v>
      </c>
    </row>
    <row r="149" spans="1:22" ht="12.3" customHeight="1">
      <c r="A149" s="73">
        <v>315</v>
      </c>
      <c r="B149" s="217" t="s">
        <v>2</v>
      </c>
      <c r="C149" s="323">
        <v>18.8</v>
      </c>
      <c r="D149" s="30">
        <v>22.7</v>
      </c>
      <c r="E149" s="30">
        <v>27.8</v>
      </c>
      <c r="F149" s="30">
        <v>33.9</v>
      </c>
      <c r="G149" s="30">
        <v>41</v>
      </c>
      <c r="H149" s="30">
        <v>46.6</v>
      </c>
      <c r="I149" s="236">
        <v>60</v>
      </c>
      <c r="J149" s="236">
        <v>74</v>
      </c>
      <c r="K149" s="236">
        <v>83</v>
      </c>
      <c r="L149" s="236">
        <v>98</v>
      </c>
      <c r="M149" s="236">
        <v>115</v>
      </c>
      <c r="N149" s="236">
        <v>125</v>
      </c>
      <c r="O149" s="236">
        <v>127</v>
      </c>
      <c r="P149" s="236">
        <v>139</v>
      </c>
      <c r="Q149" s="236">
        <v>170</v>
      </c>
      <c r="R149" s="236">
        <v>185</v>
      </c>
      <c r="S149" s="236">
        <v>236</v>
      </c>
      <c r="T149" s="325">
        <v>259</v>
      </c>
    </row>
    <row r="150" spans="1:22" ht="12" customHeight="1">
      <c r="A150" s="73">
        <v>355</v>
      </c>
      <c r="B150" s="217" t="s">
        <v>2</v>
      </c>
      <c r="C150" s="179" t="s">
        <v>1</v>
      </c>
      <c r="D150" s="30">
        <v>21.6</v>
      </c>
      <c r="E150" s="82" t="s">
        <v>1</v>
      </c>
      <c r="F150" s="30">
        <v>32.200000000000003</v>
      </c>
      <c r="G150" s="82" t="s">
        <v>1</v>
      </c>
      <c r="H150" s="30">
        <v>44.4</v>
      </c>
      <c r="I150" s="82" t="s">
        <v>1</v>
      </c>
      <c r="J150" s="236">
        <v>71</v>
      </c>
      <c r="K150" s="82" t="s">
        <v>1</v>
      </c>
      <c r="L150" s="236">
        <v>92</v>
      </c>
      <c r="M150" s="82" t="s">
        <v>1</v>
      </c>
      <c r="N150" s="236">
        <v>119</v>
      </c>
      <c r="O150" s="82" t="s">
        <v>1</v>
      </c>
      <c r="P150" s="236">
        <v>131</v>
      </c>
      <c r="Q150" s="82" t="s">
        <v>1</v>
      </c>
      <c r="R150" s="236">
        <v>176</v>
      </c>
      <c r="S150" s="82" t="s">
        <v>1</v>
      </c>
      <c r="T150" s="325">
        <v>241</v>
      </c>
    </row>
    <row r="151" spans="1:22" ht="12.3" customHeight="1">
      <c r="A151" s="381">
        <v>400</v>
      </c>
      <c r="B151" s="402" t="s">
        <v>2</v>
      </c>
      <c r="C151" s="362" t="s">
        <v>1</v>
      </c>
      <c r="D151" s="390">
        <v>20.2</v>
      </c>
      <c r="E151" s="363" t="s">
        <v>1</v>
      </c>
      <c r="F151" s="390">
        <v>30</v>
      </c>
      <c r="G151" s="363" t="s">
        <v>1</v>
      </c>
      <c r="H151" s="390">
        <v>42</v>
      </c>
      <c r="I151" s="363" t="s">
        <v>1</v>
      </c>
      <c r="J151" s="390">
        <v>66</v>
      </c>
      <c r="K151" s="363" t="s">
        <v>1</v>
      </c>
      <c r="L151" s="390">
        <v>88.5</v>
      </c>
      <c r="M151" s="363" t="s">
        <v>1</v>
      </c>
      <c r="N151" s="363" t="s">
        <v>1</v>
      </c>
      <c r="O151" s="363" t="s">
        <v>1</v>
      </c>
      <c r="P151" s="363" t="s">
        <v>1</v>
      </c>
      <c r="Q151" s="363" t="s">
        <v>1</v>
      </c>
      <c r="R151" s="363" t="s">
        <v>1</v>
      </c>
      <c r="S151" s="363" t="s">
        <v>1</v>
      </c>
      <c r="T151" s="376" t="s">
        <v>1</v>
      </c>
    </row>
    <row r="154" spans="1:22" ht="40.799999999999997" customHeight="1">
      <c r="A154" s="475" t="s">
        <v>590</v>
      </c>
      <c r="B154" s="449"/>
      <c r="C154" s="449"/>
      <c r="D154" s="449"/>
      <c r="E154" s="449"/>
      <c r="F154" s="449"/>
      <c r="G154" s="449"/>
      <c r="H154" s="449"/>
      <c r="I154" s="449"/>
      <c r="J154" s="449"/>
      <c r="K154" s="449"/>
      <c r="L154" s="449"/>
      <c r="M154" s="449"/>
      <c r="N154" s="449"/>
      <c r="O154" s="449"/>
      <c r="P154" s="449"/>
      <c r="Q154" s="449"/>
      <c r="R154" s="449"/>
      <c r="S154" s="449"/>
      <c r="T154" s="449"/>
      <c r="U154" s="449"/>
      <c r="V154" s="449"/>
    </row>
    <row r="155" spans="1:22" ht="12.3" customHeight="1">
      <c r="A155" s="450" t="s">
        <v>69</v>
      </c>
      <c r="B155" s="451"/>
      <c r="C155" s="454" t="s">
        <v>14</v>
      </c>
      <c r="D155" s="455"/>
      <c r="E155" s="455"/>
      <c r="F155" s="455"/>
      <c r="G155" s="455"/>
      <c r="H155" s="455"/>
      <c r="I155" s="455"/>
      <c r="J155" s="455"/>
      <c r="K155" s="455"/>
      <c r="L155" s="455"/>
      <c r="M155" s="455"/>
      <c r="N155" s="455"/>
      <c r="O155" s="455"/>
      <c r="P155" s="455"/>
      <c r="Q155" s="455"/>
      <c r="R155" s="455"/>
      <c r="S155" s="455"/>
      <c r="T155" s="455"/>
    </row>
    <row r="156" spans="1:22" ht="9" customHeight="1">
      <c r="A156" s="452"/>
      <c r="B156" s="453"/>
      <c r="C156" s="33">
        <v>5</v>
      </c>
      <c r="D156" s="33">
        <v>6</v>
      </c>
      <c r="E156" s="33">
        <v>7</v>
      </c>
      <c r="F156" s="33">
        <v>8</v>
      </c>
      <c r="G156" s="33">
        <v>9</v>
      </c>
      <c r="H156" s="64">
        <v>10</v>
      </c>
      <c r="I156" s="33">
        <v>11</v>
      </c>
      <c r="J156" s="33">
        <v>12</v>
      </c>
      <c r="K156" s="33">
        <v>13</v>
      </c>
      <c r="L156" s="33">
        <v>14</v>
      </c>
      <c r="M156" s="156">
        <v>15</v>
      </c>
      <c r="N156" s="33">
        <v>16</v>
      </c>
      <c r="O156" s="33">
        <v>17</v>
      </c>
      <c r="P156" s="33">
        <v>18</v>
      </c>
      <c r="Q156" s="33">
        <v>19</v>
      </c>
      <c r="R156" s="33">
        <v>20</v>
      </c>
      <c r="S156" s="33">
        <v>21</v>
      </c>
      <c r="T156" s="34">
        <v>22</v>
      </c>
    </row>
    <row r="157" spans="1:22" ht="12.3" customHeight="1">
      <c r="A157" s="73">
        <v>80</v>
      </c>
      <c r="B157" s="217" t="s">
        <v>2</v>
      </c>
      <c r="C157" s="323" t="s">
        <v>592</v>
      </c>
      <c r="D157" s="82" t="s">
        <v>1</v>
      </c>
      <c r="E157" s="30" t="s">
        <v>593</v>
      </c>
      <c r="F157" s="82" t="s">
        <v>1</v>
      </c>
      <c r="G157" s="30" t="s">
        <v>594</v>
      </c>
      <c r="H157" s="82" t="s">
        <v>1</v>
      </c>
      <c r="I157" s="236">
        <v>113</v>
      </c>
      <c r="J157" s="82" t="s">
        <v>1</v>
      </c>
      <c r="K157" s="236">
        <v>154</v>
      </c>
      <c r="L157" s="82" t="s">
        <v>1</v>
      </c>
      <c r="M157" s="236">
        <v>209</v>
      </c>
      <c r="N157" s="82" t="s">
        <v>1</v>
      </c>
      <c r="O157" s="236">
        <v>230</v>
      </c>
      <c r="P157" s="82" t="s">
        <v>1</v>
      </c>
      <c r="Q157" s="236">
        <v>288</v>
      </c>
      <c r="R157" s="82" t="s">
        <v>1</v>
      </c>
      <c r="S157" s="236">
        <v>364</v>
      </c>
      <c r="T157" s="324" t="s">
        <v>1</v>
      </c>
    </row>
    <row r="158" spans="1:22" ht="12" customHeight="1">
      <c r="A158" s="73">
        <v>90</v>
      </c>
      <c r="B158" s="217" t="s">
        <v>2</v>
      </c>
      <c r="C158" s="323" t="s">
        <v>595</v>
      </c>
      <c r="D158" s="82" t="s">
        <v>1</v>
      </c>
      <c r="E158" s="30" t="s">
        <v>596</v>
      </c>
      <c r="F158" s="82" t="s">
        <v>1</v>
      </c>
      <c r="G158" s="30" t="s">
        <v>597</v>
      </c>
      <c r="H158" s="82" t="s">
        <v>1</v>
      </c>
      <c r="I158" s="236">
        <v>109</v>
      </c>
      <c r="J158" s="82" t="s">
        <v>1</v>
      </c>
      <c r="K158" s="236">
        <v>149</v>
      </c>
      <c r="L158" s="82" t="s">
        <v>1</v>
      </c>
      <c r="M158" s="236">
        <v>203</v>
      </c>
      <c r="N158" s="236">
        <v>216</v>
      </c>
      <c r="O158" s="236">
        <v>223</v>
      </c>
      <c r="P158" s="236">
        <v>238</v>
      </c>
      <c r="Q158" s="236">
        <v>282</v>
      </c>
      <c r="R158" s="236">
        <v>298</v>
      </c>
      <c r="S158" s="236">
        <v>362</v>
      </c>
      <c r="T158" s="325">
        <v>373</v>
      </c>
    </row>
    <row r="159" spans="1:22" ht="12.3" customHeight="1">
      <c r="A159" s="73">
        <v>100</v>
      </c>
      <c r="B159" s="217" t="s">
        <v>2</v>
      </c>
      <c r="C159" s="323" t="s">
        <v>598</v>
      </c>
      <c r="D159" s="30" t="s">
        <v>600</v>
      </c>
      <c r="E159" s="30" t="s">
        <v>601</v>
      </c>
      <c r="F159" s="30" t="s">
        <v>602</v>
      </c>
      <c r="G159" s="30" t="s">
        <v>603</v>
      </c>
      <c r="H159" s="30" t="s">
        <v>604</v>
      </c>
      <c r="I159" s="236">
        <v>105</v>
      </c>
      <c r="J159" s="236">
        <v>126</v>
      </c>
      <c r="K159" s="236">
        <v>143</v>
      </c>
      <c r="L159" s="236">
        <v>165</v>
      </c>
      <c r="M159" s="236">
        <v>194</v>
      </c>
      <c r="N159" s="236">
        <v>210</v>
      </c>
      <c r="O159" s="236">
        <v>213</v>
      </c>
      <c r="P159" s="236">
        <v>231</v>
      </c>
      <c r="Q159" s="236">
        <v>272</v>
      </c>
      <c r="R159" s="236">
        <v>291</v>
      </c>
      <c r="S159" s="236">
        <v>351</v>
      </c>
      <c r="T159" s="236">
        <v>371</v>
      </c>
    </row>
    <row r="160" spans="1:22" ht="12" customHeight="1">
      <c r="A160" s="73">
        <v>112</v>
      </c>
      <c r="B160" s="217" t="s">
        <v>2</v>
      </c>
      <c r="C160" s="323" t="s">
        <v>605</v>
      </c>
      <c r="D160" s="30" t="s">
        <v>599</v>
      </c>
      <c r="E160" s="30" t="s">
        <v>609</v>
      </c>
      <c r="F160" s="30" t="s">
        <v>610</v>
      </c>
      <c r="G160" s="30" t="s">
        <v>611</v>
      </c>
      <c r="H160" s="30" t="s">
        <v>612</v>
      </c>
      <c r="I160" s="236">
        <v>101</v>
      </c>
      <c r="J160" s="236">
        <v>121</v>
      </c>
      <c r="K160" s="236">
        <v>137</v>
      </c>
      <c r="L160" s="236">
        <v>160</v>
      </c>
      <c r="M160" s="236">
        <v>187</v>
      </c>
      <c r="N160" s="236">
        <v>201</v>
      </c>
      <c r="O160" s="236">
        <v>205</v>
      </c>
      <c r="P160" s="236">
        <v>221</v>
      </c>
      <c r="Q160" s="236">
        <v>263</v>
      </c>
      <c r="R160" s="236">
        <v>281</v>
      </c>
      <c r="S160" s="236">
        <v>346</v>
      </c>
      <c r="T160" s="325">
        <v>360</v>
      </c>
    </row>
    <row r="161" spans="1:22" ht="12.3" customHeight="1">
      <c r="A161" s="73">
        <v>125</v>
      </c>
      <c r="B161" s="217" t="s">
        <v>2</v>
      </c>
      <c r="C161" s="323" t="s">
        <v>613</v>
      </c>
      <c r="D161" s="30" t="s">
        <v>557</v>
      </c>
      <c r="E161" s="30" t="s">
        <v>606</v>
      </c>
      <c r="F161" s="30" t="s">
        <v>607</v>
      </c>
      <c r="G161" s="30" t="s">
        <v>608</v>
      </c>
      <c r="H161" s="30" t="s">
        <v>614</v>
      </c>
      <c r="I161" s="236" t="s">
        <v>615</v>
      </c>
      <c r="J161" s="236">
        <v>117</v>
      </c>
      <c r="K161" s="236">
        <v>132</v>
      </c>
      <c r="L161" s="236">
        <v>153</v>
      </c>
      <c r="M161" s="236">
        <v>179</v>
      </c>
      <c r="N161" s="236">
        <v>193</v>
      </c>
      <c r="O161" s="236">
        <v>197</v>
      </c>
      <c r="P161" s="236">
        <v>213</v>
      </c>
      <c r="Q161" s="236">
        <v>254</v>
      </c>
      <c r="R161" s="236">
        <v>272</v>
      </c>
      <c r="S161" s="236">
        <v>332</v>
      </c>
      <c r="T161" s="325">
        <v>354</v>
      </c>
    </row>
    <row r="162" spans="1:22" ht="12" customHeight="1">
      <c r="A162" s="73">
        <v>140</v>
      </c>
      <c r="B162" s="217" t="s">
        <v>2</v>
      </c>
      <c r="C162" s="323" t="s">
        <v>616</v>
      </c>
      <c r="D162" s="30" t="s">
        <v>617</v>
      </c>
      <c r="E162" s="30" t="s">
        <v>618</v>
      </c>
      <c r="F162" s="30" t="s">
        <v>619</v>
      </c>
      <c r="G162" s="30" t="s">
        <v>620</v>
      </c>
      <c r="H162" s="30" t="s">
        <v>621</v>
      </c>
      <c r="I162" s="30" t="s">
        <v>622</v>
      </c>
      <c r="J162" s="236">
        <v>112</v>
      </c>
      <c r="K162" s="236">
        <v>125</v>
      </c>
      <c r="L162" s="236">
        <v>147</v>
      </c>
      <c r="M162" s="236">
        <v>173</v>
      </c>
      <c r="N162" s="236">
        <v>185</v>
      </c>
      <c r="O162" s="236">
        <v>190</v>
      </c>
      <c r="P162" s="236">
        <v>203</v>
      </c>
      <c r="Q162" s="236">
        <v>246</v>
      </c>
      <c r="R162" s="236">
        <v>261</v>
      </c>
      <c r="S162" s="236">
        <v>324</v>
      </c>
      <c r="T162" s="325">
        <v>340</v>
      </c>
    </row>
    <row r="163" spans="1:22" ht="12.3" customHeight="1">
      <c r="A163" s="73">
        <v>160</v>
      </c>
      <c r="B163" s="217" t="s">
        <v>2</v>
      </c>
      <c r="C163" s="323" t="s">
        <v>623</v>
      </c>
      <c r="D163" s="30" t="s">
        <v>624</v>
      </c>
      <c r="E163" s="30" t="s">
        <v>625</v>
      </c>
      <c r="F163" s="30" t="s">
        <v>626</v>
      </c>
      <c r="G163" s="30" t="s">
        <v>627</v>
      </c>
      <c r="H163" s="30" t="s">
        <v>628</v>
      </c>
      <c r="I163" s="30" t="s">
        <v>629</v>
      </c>
      <c r="J163" s="236">
        <v>107</v>
      </c>
      <c r="K163" s="236">
        <v>118</v>
      </c>
      <c r="L163" s="236">
        <v>141</v>
      </c>
      <c r="M163" s="236">
        <v>164</v>
      </c>
      <c r="N163" s="236">
        <v>179</v>
      </c>
      <c r="O163" s="236">
        <v>181</v>
      </c>
      <c r="P163" s="236">
        <v>197</v>
      </c>
      <c r="Q163" s="236">
        <v>235</v>
      </c>
      <c r="R163" s="236">
        <v>254</v>
      </c>
      <c r="S163" s="236">
        <v>311</v>
      </c>
      <c r="T163" s="325">
        <v>331</v>
      </c>
    </row>
    <row r="164" spans="1:22" ht="12" customHeight="1">
      <c r="A164" s="73">
        <v>180</v>
      </c>
      <c r="B164" s="217" t="s">
        <v>2</v>
      </c>
      <c r="C164" s="323" t="s">
        <v>630</v>
      </c>
      <c r="D164" s="30" t="s">
        <v>631</v>
      </c>
      <c r="E164" s="30" t="s">
        <v>632</v>
      </c>
      <c r="F164" s="30" t="s">
        <v>633</v>
      </c>
      <c r="G164" s="30" t="s">
        <v>634</v>
      </c>
      <c r="H164" s="30" t="s">
        <v>635</v>
      </c>
      <c r="I164" s="30" t="s">
        <v>636</v>
      </c>
      <c r="J164" s="236">
        <v>102</v>
      </c>
      <c r="K164" s="236">
        <v>111</v>
      </c>
      <c r="L164" s="236">
        <v>134</v>
      </c>
      <c r="M164" s="236">
        <v>155</v>
      </c>
      <c r="N164" s="236">
        <v>170</v>
      </c>
      <c r="O164" s="236">
        <v>171</v>
      </c>
      <c r="P164" s="236">
        <v>187</v>
      </c>
      <c r="Q164" s="236">
        <v>222</v>
      </c>
      <c r="R164" s="236">
        <v>243</v>
      </c>
      <c r="S164" s="236">
        <v>295</v>
      </c>
      <c r="T164" s="325">
        <v>318</v>
      </c>
    </row>
    <row r="165" spans="1:22" ht="12.3" customHeight="1">
      <c r="A165" s="73">
        <v>200</v>
      </c>
      <c r="B165" s="217" t="s">
        <v>2</v>
      </c>
      <c r="C165" s="323" t="s">
        <v>637</v>
      </c>
      <c r="D165" s="30" t="s">
        <v>638</v>
      </c>
      <c r="E165" s="30" t="s">
        <v>632</v>
      </c>
      <c r="F165" s="30" t="s">
        <v>640</v>
      </c>
      <c r="G165" s="30" t="s">
        <v>641</v>
      </c>
      <c r="H165" s="30" t="s">
        <v>642</v>
      </c>
      <c r="I165" s="30" t="s">
        <v>643</v>
      </c>
      <c r="J165" s="30" t="s">
        <v>644</v>
      </c>
      <c r="K165" s="236">
        <v>109</v>
      </c>
      <c r="L165" s="236">
        <v>126</v>
      </c>
      <c r="M165" s="236">
        <v>154</v>
      </c>
      <c r="N165" s="236">
        <v>160</v>
      </c>
      <c r="O165" s="236">
        <v>169</v>
      </c>
      <c r="P165" s="236">
        <v>177</v>
      </c>
      <c r="Q165" s="236">
        <v>224</v>
      </c>
      <c r="R165" s="236">
        <v>229</v>
      </c>
      <c r="S165" s="236">
        <v>312</v>
      </c>
      <c r="T165" s="325">
        <v>301</v>
      </c>
    </row>
    <row r="166" spans="1:22" ht="12" customHeight="1">
      <c r="A166" s="73">
        <v>224</v>
      </c>
      <c r="B166" s="217" t="s">
        <v>2</v>
      </c>
      <c r="C166" s="323" t="s">
        <v>645</v>
      </c>
      <c r="D166" s="30" t="s">
        <v>639</v>
      </c>
      <c r="E166" s="30" t="s">
        <v>646</v>
      </c>
      <c r="F166" s="30" t="s">
        <v>647</v>
      </c>
      <c r="G166" s="30" t="s">
        <v>648</v>
      </c>
      <c r="H166" s="30" t="s">
        <v>649</v>
      </c>
      <c r="I166" s="30" t="s">
        <v>650</v>
      </c>
      <c r="J166" s="30" t="s">
        <v>651</v>
      </c>
      <c r="K166" s="236">
        <v>101</v>
      </c>
      <c r="L166" s="236">
        <v>119</v>
      </c>
      <c r="M166" s="236">
        <v>144</v>
      </c>
      <c r="N166" s="236">
        <v>159</v>
      </c>
      <c r="O166" s="236">
        <v>158</v>
      </c>
      <c r="P166" s="236">
        <v>175</v>
      </c>
      <c r="Q166" s="236">
        <v>209</v>
      </c>
      <c r="R166" s="236">
        <v>231</v>
      </c>
      <c r="S166" s="236">
        <v>292</v>
      </c>
      <c r="T166" s="325">
        <v>318</v>
      </c>
    </row>
    <row r="167" spans="1:22" ht="12.3" customHeight="1">
      <c r="A167" s="73">
        <v>250</v>
      </c>
      <c r="B167" s="217" t="s">
        <v>2</v>
      </c>
      <c r="C167" s="323" t="s">
        <v>652</v>
      </c>
      <c r="D167" s="30" t="s">
        <v>653</v>
      </c>
      <c r="E167" s="30" t="s">
        <v>654</v>
      </c>
      <c r="F167" s="30" t="s">
        <v>655</v>
      </c>
      <c r="G167" s="30" t="s">
        <v>656</v>
      </c>
      <c r="H167" s="30" t="s">
        <v>657</v>
      </c>
      <c r="I167" s="30" t="s">
        <v>658</v>
      </c>
      <c r="J167" s="30" t="s">
        <v>659</v>
      </c>
      <c r="K167" s="236" t="s">
        <v>660</v>
      </c>
      <c r="L167" s="236">
        <v>117</v>
      </c>
      <c r="M167" s="236">
        <v>138</v>
      </c>
      <c r="N167" s="236">
        <v>148</v>
      </c>
      <c r="O167" s="236">
        <v>151</v>
      </c>
      <c r="P167" s="236">
        <v>163</v>
      </c>
      <c r="Q167" s="236">
        <v>202</v>
      </c>
      <c r="R167" s="236">
        <v>216</v>
      </c>
      <c r="S167" s="236">
        <v>282</v>
      </c>
      <c r="T167" s="325">
        <v>298</v>
      </c>
    </row>
    <row r="168" spans="1:22" ht="12" customHeight="1">
      <c r="A168" s="73">
        <v>280</v>
      </c>
      <c r="B168" s="217" t="s">
        <v>2</v>
      </c>
      <c r="C168" s="323" t="s">
        <v>661</v>
      </c>
      <c r="D168" s="30" t="s">
        <v>662</v>
      </c>
      <c r="E168" s="30" t="s">
        <v>663</v>
      </c>
      <c r="F168" s="30" t="s">
        <v>664</v>
      </c>
      <c r="G168" s="30" t="s">
        <v>606</v>
      </c>
      <c r="H168" s="30" t="s">
        <v>665</v>
      </c>
      <c r="I168" s="30" t="s">
        <v>666</v>
      </c>
      <c r="J168" s="30" t="s">
        <v>667</v>
      </c>
      <c r="K168" s="30" t="s">
        <v>668</v>
      </c>
      <c r="L168" s="236">
        <v>108</v>
      </c>
      <c r="M168" s="236">
        <v>128</v>
      </c>
      <c r="N168" s="236">
        <v>142</v>
      </c>
      <c r="O168" s="236">
        <v>141</v>
      </c>
      <c r="P168" s="236">
        <v>156</v>
      </c>
      <c r="Q168" s="236">
        <v>189</v>
      </c>
      <c r="R168" s="236">
        <v>208</v>
      </c>
      <c r="S168" s="236">
        <v>268</v>
      </c>
      <c r="T168" s="325">
        <v>287</v>
      </c>
    </row>
    <row r="169" spans="1:22" ht="12.3" customHeight="1">
      <c r="A169" s="73">
        <v>315</v>
      </c>
      <c r="B169" s="217" t="s">
        <v>2</v>
      </c>
      <c r="C169" s="323" t="s">
        <v>669</v>
      </c>
      <c r="D169" s="30" t="s">
        <v>670</v>
      </c>
      <c r="E169" s="30" t="s">
        <v>671</v>
      </c>
      <c r="F169" s="30" t="s">
        <v>672</v>
      </c>
      <c r="G169" s="30" t="s">
        <v>673</v>
      </c>
      <c r="H169" s="30" t="s">
        <v>674</v>
      </c>
      <c r="I169" s="30" t="s">
        <v>675</v>
      </c>
      <c r="J169" s="30" t="s">
        <v>676</v>
      </c>
      <c r="K169" s="30" t="s">
        <v>677</v>
      </c>
      <c r="L169" s="236">
        <v>104</v>
      </c>
      <c r="M169" s="236">
        <v>121</v>
      </c>
      <c r="N169" s="236">
        <v>132</v>
      </c>
      <c r="O169" s="236">
        <v>133</v>
      </c>
      <c r="P169" s="236">
        <v>146</v>
      </c>
      <c r="Q169" s="236">
        <v>180</v>
      </c>
      <c r="R169" s="236">
        <v>195</v>
      </c>
      <c r="S169" s="236">
        <v>249</v>
      </c>
      <c r="T169" s="325">
        <v>273</v>
      </c>
    </row>
    <row r="170" spans="1:22" ht="12" customHeight="1">
      <c r="A170" s="73">
        <v>355</v>
      </c>
      <c r="B170" s="217" t="s">
        <v>2</v>
      </c>
      <c r="C170" s="179" t="s">
        <v>1</v>
      </c>
      <c r="D170" s="30" t="s">
        <v>678</v>
      </c>
      <c r="E170" s="82" t="s">
        <v>1</v>
      </c>
      <c r="F170" s="30" t="s">
        <v>679</v>
      </c>
      <c r="G170" s="82" t="s">
        <v>1</v>
      </c>
      <c r="H170" s="30" t="s">
        <v>633</v>
      </c>
      <c r="I170" s="82" t="s">
        <v>1</v>
      </c>
      <c r="J170" s="30" t="s">
        <v>680</v>
      </c>
      <c r="K170" s="82" t="s">
        <v>1</v>
      </c>
      <c r="L170" s="236" t="s">
        <v>681</v>
      </c>
      <c r="M170" s="82" t="s">
        <v>1</v>
      </c>
      <c r="N170" s="236">
        <v>125</v>
      </c>
      <c r="O170" s="82" t="s">
        <v>1</v>
      </c>
      <c r="P170" s="236">
        <v>138</v>
      </c>
      <c r="Q170" s="82" t="s">
        <v>1</v>
      </c>
      <c r="R170" s="236">
        <v>185</v>
      </c>
      <c r="S170" s="82" t="s">
        <v>1</v>
      </c>
      <c r="T170" s="325">
        <v>254</v>
      </c>
    </row>
    <row r="171" spans="1:22" ht="12.3" customHeight="1">
      <c r="A171" s="381">
        <v>400</v>
      </c>
      <c r="B171" s="402" t="s">
        <v>2</v>
      </c>
      <c r="C171" s="362" t="s">
        <v>1</v>
      </c>
      <c r="D171" s="390" t="s">
        <v>682</v>
      </c>
      <c r="E171" s="363" t="s">
        <v>1</v>
      </c>
      <c r="F171" s="390" t="s">
        <v>683</v>
      </c>
      <c r="G171" s="363" t="s">
        <v>1</v>
      </c>
      <c r="H171" s="390" t="s">
        <v>684</v>
      </c>
      <c r="I171" s="363" t="s">
        <v>1</v>
      </c>
      <c r="J171" s="390" t="s">
        <v>685</v>
      </c>
      <c r="K171" s="363" t="s">
        <v>1</v>
      </c>
      <c r="L171" s="390" t="s">
        <v>686</v>
      </c>
      <c r="M171" s="363" t="s">
        <v>1</v>
      </c>
      <c r="N171" s="363" t="s">
        <v>1</v>
      </c>
      <c r="O171" s="363" t="s">
        <v>1</v>
      </c>
      <c r="P171" s="363" t="s">
        <v>1</v>
      </c>
      <c r="Q171" s="363" t="s">
        <v>1</v>
      </c>
      <c r="R171" s="363" t="s">
        <v>1</v>
      </c>
      <c r="S171" s="363" t="s">
        <v>1</v>
      </c>
      <c r="T171" s="376" t="s">
        <v>1</v>
      </c>
    </row>
    <row r="172" spans="1:22" ht="12.3" customHeight="1"/>
    <row r="173" spans="1:22" ht="12.3" customHeight="1"/>
    <row r="174" spans="1:22" ht="40.799999999999997" customHeight="1">
      <c r="A174" s="475" t="s">
        <v>516</v>
      </c>
      <c r="B174" s="449"/>
      <c r="C174" s="449"/>
      <c r="D174" s="449"/>
      <c r="E174" s="449"/>
      <c r="F174" s="449"/>
      <c r="G174" s="449"/>
      <c r="H174" s="449"/>
      <c r="I174" s="449"/>
      <c r="J174" s="449"/>
      <c r="K174" s="449"/>
      <c r="L174" s="449"/>
      <c r="M174" s="449"/>
      <c r="N174" s="449"/>
      <c r="O174" s="449"/>
      <c r="P174" s="449"/>
      <c r="Q174" s="449"/>
      <c r="R174" s="449"/>
      <c r="S174" s="449"/>
      <c r="T174" s="449"/>
      <c r="U174" s="449"/>
      <c r="V174" s="449"/>
    </row>
    <row r="175" spans="1:22" ht="12.3" customHeight="1">
      <c r="A175" s="450" t="s">
        <v>69</v>
      </c>
      <c r="B175" s="451"/>
      <c r="C175" s="454" t="s">
        <v>14</v>
      </c>
      <c r="D175" s="455"/>
      <c r="E175" s="455"/>
      <c r="F175" s="455"/>
      <c r="G175" s="455"/>
      <c r="H175" s="455"/>
      <c r="I175" s="455"/>
      <c r="J175" s="455"/>
      <c r="K175" s="455"/>
      <c r="L175" s="455"/>
      <c r="M175" s="455"/>
      <c r="N175" s="455"/>
      <c r="O175" s="455"/>
      <c r="P175" s="455"/>
      <c r="Q175" s="455"/>
      <c r="R175" s="455"/>
      <c r="S175" s="455"/>
      <c r="T175" s="455"/>
    </row>
    <row r="176" spans="1:22" ht="9" customHeight="1">
      <c r="A176" s="452"/>
      <c r="B176" s="453"/>
      <c r="C176" s="33">
        <v>5</v>
      </c>
      <c r="D176" s="33">
        <v>6</v>
      </c>
      <c r="E176" s="33">
        <v>7</v>
      </c>
      <c r="F176" s="33">
        <v>8</v>
      </c>
      <c r="G176" s="33">
        <v>9</v>
      </c>
      <c r="H176" s="64">
        <v>10</v>
      </c>
      <c r="I176" s="33">
        <v>11</v>
      </c>
      <c r="J176" s="33">
        <v>12</v>
      </c>
      <c r="K176" s="33">
        <v>13</v>
      </c>
      <c r="L176" s="33">
        <v>14</v>
      </c>
      <c r="M176" s="156">
        <v>15</v>
      </c>
      <c r="N176" s="33">
        <v>16</v>
      </c>
      <c r="O176" s="33">
        <v>17</v>
      </c>
      <c r="P176" s="33">
        <v>18</v>
      </c>
      <c r="Q176" s="33">
        <v>19</v>
      </c>
      <c r="R176" s="33">
        <v>20</v>
      </c>
      <c r="S176" s="33">
        <v>21</v>
      </c>
      <c r="T176" s="34">
        <v>22</v>
      </c>
    </row>
    <row r="177" spans="1:20" ht="12.3" customHeight="1">
      <c r="A177" s="73">
        <v>80</v>
      </c>
      <c r="B177" s="217" t="s">
        <v>2</v>
      </c>
      <c r="C177" s="323">
        <v>37.299999999999997</v>
      </c>
      <c r="D177" s="82" t="s">
        <v>1</v>
      </c>
      <c r="E177" s="30">
        <v>55.8</v>
      </c>
      <c r="F177" s="82" t="s">
        <v>1</v>
      </c>
      <c r="G177" s="30">
        <v>79.2</v>
      </c>
      <c r="H177" s="82" t="s">
        <v>1</v>
      </c>
      <c r="I177" s="236">
        <v>117</v>
      </c>
      <c r="J177" s="82" t="s">
        <v>1</v>
      </c>
      <c r="K177" s="236">
        <v>159</v>
      </c>
      <c r="L177" s="82" t="s">
        <v>1</v>
      </c>
      <c r="M177" s="236">
        <v>210</v>
      </c>
      <c r="N177" s="82" t="s">
        <v>1</v>
      </c>
      <c r="O177" s="236">
        <v>232</v>
      </c>
      <c r="P177" s="82" t="s">
        <v>1</v>
      </c>
      <c r="Q177" s="236">
        <v>284</v>
      </c>
      <c r="R177" s="82" t="s">
        <v>1</v>
      </c>
      <c r="S177" s="236">
        <v>336</v>
      </c>
      <c r="T177" s="324" t="s">
        <v>1</v>
      </c>
    </row>
    <row r="178" spans="1:20" ht="12" customHeight="1">
      <c r="A178" s="73">
        <v>90</v>
      </c>
      <c r="B178" s="217" t="s">
        <v>2</v>
      </c>
      <c r="C178" s="323">
        <v>36.5</v>
      </c>
      <c r="D178" s="82" t="s">
        <v>1</v>
      </c>
      <c r="E178" s="30">
        <v>54.4</v>
      </c>
      <c r="F178" s="82" t="s">
        <v>1</v>
      </c>
      <c r="G178" s="30">
        <v>77.8</v>
      </c>
      <c r="H178" s="82" t="s">
        <v>1</v>
      </c>
      <c r="I178" s="236">
        <v>114</v>
      </c>
      <c r="J178" s="82" t="s">
        <v>1</v>
      </c>
      <c r="K178" s="236">
        <v>154</v>
      </c>
      <c r="L178" s="82" t="s">
        <v>1</v>
      </c>
      <c r="M178" s="236">
        <v>205</v>
      </c>
      <c r="N178" s="236">
        <v>217</v>
      </c>
      <c r="O178" s="236">
        <v>228</v>
      </c>
      <c r="P178" s="236">
        <v>242</v>
      </c>
      <c r="Q178" s="236">
        <v>280</v>
      </c>
      <c r="R178" s="236">
        <v>295</v>
      </c>
      <c r="S178" s="236">
        <v>344</v>
      </c>
      <c r="T178" s="325">
        <v>348</v>
      </c>
    </row>
    <row r="179" spans="1:20" ht="12.3" customHeight="1">
      <c r="A179" s="73">
        <v>100</v>
      </c>
      <c r="B179" s="217" t="s">
        <v>2</v>
      </c>
      <c r="C179" s="323">
        <v>34.9</v>
      </c>
      <c r="D179" s="30">
        <v>40.1</v>
      </c>
      <c r="E179" s="30">
        <v>51.9</v>
      </c>
      <c r="F179" s="30">
        <v>60.4</v>
      </c>
      <c r="G179" s="30">
        <v>74.599999999999994</v>
      </c>
      <c r="H179" s="30">
        <v>80.900000000000006</v>
      </c>
      <c r="I179" s="236">
        <v>110</v>
      </c>
      <c r="J179" s="236">
        <v>131</v>
      </c>
      <c r="K179" s="236">
        <v>149</v>
      </c>
      <c r="L179" s="236">
        <v>171</v>
      </c>
      <c r="M179" s="236">
        <v>199</v>
      </c>
      <c r="N179" s="236">
        <v>213</v>
      </c>
      <c r="O179" s="236">
        <v>220</v>
      </c>
      <c r="P179" s="236">
        <v>237</v>
      </c>
      <c r="Q179" s="236">
        <v>275</v>
      </c>
      <c r="R179" s="236">
        <v>291</v>
      </c>
      <c r="S179" s="236">
        <v>341</v>
      </c>
      <c r="T179" s="325">
        <v>354</v>
      </c>
    </row>
    <row r="180" spans="1:20" ht="12" customHeight="1">
      <c r="A180" s="73">
        <v>112</v>
      </c>
      <c r="B180" s="217" t="s">
        <v>2</v>
      </c>
      <c r="C180" s="323">
        <v>33.700000000000003</v>
      </c>
      <c r="D180" s="30">
        <v>39.299999999999997</v>
      </c>
      <c r="E180" s="30">
        <v>50.3</v>
      </c>
      <c r="F180" s="30">
        <v>58.8</v>
      </c>
      <c r="G180" s="30">
        <v>72.5</v>
      </c>
      <c r="H180" s="30">
        <v>79.400000000000006</v>
      </c>
      <c r="I180" s="236">
        <v>106</v>
      </c>
      <c r="J180" s="236">
        <v>127</v>
      </c>
      <c r="K180" s="236">
        <v>143</v>
      </c>
      <c r="L180" s="236">
        <v>166</v>
      </c>
      <c r="M180" s="236">
        <v>192</v>
      </c>
      <c r="N180" s="236">
        <v>205</v>
      </c>
      <c r="O180" s="236">
        <v>212</v>
      </c>
      <c r="P180" s="236">
        <v>228</v>
      </c>
      <c r="Q180" s="236">
        <v>268</v>
      </c>
      <c r="R180" s="236">
        <v>285</v>
      </c>
      <c r="S180" s="236">
        <v>339</v>
      </c>
      <c r="T180" s="325">
        <v>351</v>
      </c>
    </row>
    <row r="181" spans="1:20" ht="12.3" customHeight="1">
      <c r="A181" s="73">
        <v>125</v>
      </c>
      <c r="B181" s="217" t="s">
        <v>2</v>
      </c>
      <c r="C181" s="323">
        <v>32.4</v>
      </c>
      <c r="D181" s="30">
        <v>37.700000000000003</v>
      </c>
      <c r="E181" s="30">
        <v>48.3</v>
      </c>
      <c r="F181" s="30">
        <v>56.1</v>
      </c>
      <c r="G181" s="30">
        <v>69.8</v>
      </c>
      <c r="H181" s="30">
        <v>76.099999999999994</v>
      </c>
      <c r="I181" s="236">
        <v>102</v>
      </c>
      <c r="J181" s="236">
        <v>123</v>
      </c>
      <c r="K181" s="236">
        <v>138</v>
      </c>
      <c r="L181" s="236">
        <v>160</v>
      </c>
      <c r="M181" s="236">
        <v>185</v>
      </c>
      <c r="N181" s="236">
        <v>199</v>
      </c>
      <c r="O181" s="236">
        <v>204</v>
      </c>
      <c r="P181" s="236">
        <v>220</v>
      </c>
      <c r="Q181" s="236">
        <v>259</v>
      </c>
      <c r="R181" s="236">
        <v>277</v>
      </c>
      <c r="S181" s="236">
        <v>330</v>
      </c>
      <c r="T181" s="325">
        <v>349</v>
      </c>
    </row>
    <row r="182" spans="1:20" ht="12" customHeight="1">
      <c r="A182" s="73">
        <v>140</v>
      </c>
      <c r="B182" s="217" t="s">
        <v>2</v>
      </c>
      <c r="C182" s="323">
        <v>30.8</v>
      </c>
      <c r="D182" s="30">
        <v>36.4</v>
      </c>
      <c r="E182" s="30">
        <v>45.9</v>
      </c>
      <c r="F182" s="30">
        <v>54.3</v>
      </c>
      <c r="G182" s="30">
        <v>66.3</v>
      </c>
      <c r="H182" s="30">
        <v>74</v>
      </c>
      <c r="I182" s="30">
        <v>96.7</v>
      </c>
      <c r="J182" s="236">
        <v>118</v>
      </c>
      <c r="K182" s="236">
        <v>132</v>
      </c>
      <c r="L182" s="236">
        <v>154</v>
      </c>
      <c r="M182" s="236">
        <v>180</v>
      </c>
      <c r="N182" s="236">
        <v>191</v>
      </c>
      <c r="O182" s="236">
        <v>198</v>
      </c>
      <c r="P182" s="236">
        <v>212</v>
      </c>
      <c r="Q182" s="236">
        <v>253</v>
      </c>
      <c r="R182" s="236">
        <v>268</v>
      </c>
      <c r="S182" s="236">
        <v>324</v>
      </c>
      <c r="T182" s="325">
        <v>338</v>
      </c>
    </row>
    <row r="183" spans="1:20" ht="12.3" customHeight="1">
      <c r="A183" s="73">
        <v>160</v>
      </c>
      <c r="B183" s="217" t="s">
        <v>2</v>
      </c>
      <c r="C183" s="323">
        <v>27.9</v>
      </c>
      <c r="D183" s="30">
        <v>34.9</v>
      </c>
      <c r="E183" s="30">
        <v>41.3</v>
      </c>
      <c r="F183" s="30">
        <v>52.2</v>
      </c>
      <c r="G183" s="30">
        <v>60</v>
      </c>
      <c r="H183" s="30">
        <v>71.2</v>
      </c>
      <c r="I183" s="30">
        <v>87.5</v>
      </c>
      <c r="J183" s="236">
        <v>113</v>
      </c>
      <c r="K183" s="236">
        <v>124</v>
      </c>
      <c r="L183" s="236">
        <v>148</v>
      </c>
      <c r="M183" s="236">
        <v>171</v>
      </c>
      <c r="N183" s="236">
        <v>186</v>
      </c>
      <c r="O183" s="236">
        <v>189</v>
      </c>
      <c r="P183" s="236">
        <v>206</v>
      </c>
      <c r="Q183" s="236">
        <v>243</v>
      </c>
      <c r="R183" s="236">
        <v>261</v>
      </c>
      <c r="S183" s="236">
        <v>313</v>
      </c>
      <c r="T183" s="325">
        <v>332</v>
      </c>
    </row>
    <row r="184" spans="1:20" ht="12" customHeight="1">
      <c r="A184" s="73">
        <v>180</v>
      </c>
      <c r="B184" s="217" t="s">
        <v>2</v>
      </c>
      <c r="C184" s="323">
        <v>27.2</v>
      </c>
      <c r="D184" s="30">
        <v>33.200000000000003</v>
      </c>
      <c r="E184" s="30">
        <v>40.299999999999997</v>
      </c>
      <c r="F184" s="30">
        <v>49.6</v>
      </c>
      <c r="G184" s="30">
        <v>58.4</v>
      </c>
      <c r="H184" s="30">
        <v>67.7</v>
      </c>
      <c r="I184" s="30">
        <v>84.9</v>
      </c>
      <c r="J184" s="236">
        <v>108</v>
      </c>
      <c r="K184" s="236">
        <v>117</v>
      </c>
      <c r="L184" s="236">
        <v>141</v>
      </c>
      <c r="M184" s="236">
        <v>162</v>
      </c>
      <c r="N184" s="236">
        <v>177</v>
      </c>
      <c r="O184" s="236">
        <v>179</v>
      </c>
      <c r="P184" s="236">
        <v>196</v>
      </c>
      <c r="Q184" s="236">
        <v>229</v>
      </c>
      <c r="R184" s="236">
        <v>251</v>
      </c>
      <c r="S184" s="236">
        <v>298</v>
      </c>
      <c r="T184" s="325">
        <v>321</v>
      </c>
    </row>
    <row r="185" spans="1:20" ht="12.3" customHeight="1">
      <c r="A185" s="73">
        <v>200</v>
      </c>
      <c r="B185" s="217" t="s">
        <v>2</v>
      </c>
      <c r="C185" s="323">
        <v>26.6</v>
      </c>
      <c r="D185" s="30">
        <v>30.1</v>
      </c>
      <c r="E185" s="30">
        <v>40.6</v>
      </c>
      <c r="F185" s="30">
        <v>44.6</v>
      </c>
      <c r="G185" s="30">
        <v>57.8</v>
      </c>
      <c r="H185" s="30">
        <v>61.3</v>
      </c>
      <c r="I185" s="30">
        <v>84.4</v>
      </c>
      <c r="J185" s="30">
        <v>97.1</v>
      </c>
      <c r="K185" s="236">
        <v>116</v>
      </c>
      <c r="L185" s="236">
        <v>133</v>
      </c>
      <c r="M185" s="236">
        <v>163</v>
      </c>
      <c r="N185" s="236">
        <v>167</v>
      </c>
      <c r="O185" s="236">
        <v>180</v>
      </c>
      <c r="P185" s="236">
        <v>185</v>
      </c>
      <c r="Q185" s="236">
        <v>235</v>
      </c>
      <c r="R185" s="236">
        <v>237</v>
      </c>
      <c r="S185" s="236">
        <v>325</v>
      </c>
      <c r="T185" s="325">
        <v>306</v>
      </c>
    </row>
    <row r="186" spans="1:20" ht="12" customHeight="1">
      <c r="A186" s="73">
        <v>224</v>
      </c>
      <c r="B186" s="217" t="s">
        <v>2</v>
      </c>
      <c r="C186" s="323">
        <v>24.6</v>
      </c>
      <c r="D186" s="30">
        <v>29.3</v>
      </c>
      <c r="E186" s="30">
        <v>37.6</v>
      </c>
      <c r="F186" s="30">
        <v>43.5</v>
      </c>
      <c r="G186" s="30">
        <v>53.9</v>
      </c>
      <c r="H186" s="30">
        <v>59.6</v>
      </c>
      <c r="I186" s="30">
        <v>78.8</v>
      </c>
      <c r="J186" s="30">
        <v>94.3</v>
      </c>
      <c r="K186" s="236">
        <v>108</v>
      </c>
      <c r="L186" s="236">
        <v>125</v>
      </c>
      <c r="M186" s="236">
        <v>152</v>
      </c>
      <c r="N186" s="236">
        <v>169</v>
      </c>
      <c r="O186" s="236">
        <v>168</v>
      </c>
      <c r="P186" s="236">
        <v>186</v>
      </c>
      <c r="Q186" s="236">
        <v>221</v>
      </c>
      <c r="R186" s="236">
        <v>243</v>
      </c>
      <c r="S186" s="236">
        <v>306</v>
      </c>
      <c r="T186" s="325">
        <v>333</v>
      </c>
    </row>
    <row r="187" spans="1:20" ht="12.3" customHeight="1">
      <c r="A187" s="73">
        <v>250</v>
      </c>
      <c r="B187" s="217" t="s">
        <v>2</v>
      </c>
      <c r="C187" s="323">
        <v>23.8</v>
      </c>
      <c r="D187" s="30">
        <v>28.5</v>
      </c>
      <c r="E187" s="30">
        <v>36.1</v>
      </c>
      <c r="F187" s="30">
        <v>43.7</v>
      </c>
      <c r="G187" s="30">
        <v>51.6</v>
      </c>
      <c r="H187" s="30">
        <v>59</v>
      </c>
      <c r="I187" s="30">
        <v>75.7</v>
      </c>
      <c r="J187" s="30">
        <v>93.5</v>
      </c>
      <c r="K187" s="236">
        <v>104</v>
      </c>
      <c r="L187" s="236">
        <v>124</v>
      </c>
      <c r="M187" s="236">
        <v>146</v>
      </c>
      <c r="N187" s="236">
        <v>157</v>
      </c>
      <c r="O187" s="236">
        <v>161</v>
      </c>
      <c r="P187" s="236">
        <v>174</v>
      </c>
      <c r="Q187" s="236">
        <v>213</v>
      </c>
      <c r="R187" s="236">
        <v>228</v>
      </c>
      <c r="S187" s="236">
        <v>296</v>
      </c>
      <c r="T187" s="325">
        <v>313</v>
      </c>
    </row>
    <row r="188" spans="1:20" ht="12" customHeight="1">
      <c r="A188" s="73">
        <v>280</v>
      </c>
      <c r="B188" s="217" t="s">
        <v>2</v>
      </c>
      <c r="C188" s="323">
        <v>22.4</v>
      </c>
      <c r="D188" s="30">
        <v>26.4</v>
      </c>
      <c r="E188" s="30">
        <v>33.299999999999997</v>
      </c>
      <c r="F188" s="30">
        <v>40.5</v>
      </c>
      <c r="G188" s="30">
        <v>48.8</v>
      </c>
      <c r="H188" s="30">
        <v>55</v>
      </c>
      <c r="I188" s="30">
        <v>71.5</v>
      </c>
      <c r="J188" s="30">
        <v>87.2</v>
      </c>
      <c r="K188" s="30">
        <v>96.8</v>
      </c>
      <c r="L188" s="236">
        <v>115</v>
      </c>
      <c r="M188" s="236">
        <v>136</v>
      </c>
      <c r="N188" s="236">
        <v>151</v>
      </c>
      <c r="O188" s="236">
        <v>150</v>
      </c>
      <c r="P188" s="236">
        <v>167</v>
      </c>
      <c r="Q188" s="236">
        <v>200</v>
      </c>
      <c r="R188" s="236">
        <v>219</v>
      </c>
      <c r="S188" s="236">
        <v>282</v>
      </c>
      <c r="T188" s="325">
        <v>302</v>
      </c>
    </row>
    <row r="189" spans="1:20" ht="12.3" customHeight="1">
      <c r="A189" s="73">
        <v>315</v>
      </c>
      <c r="B189" s="217" t="s">
        <v>2</v>
      </c>
      <c r="C189" s="323">
        <v>20.9</v>
      </c>
      <c r="D189" s="30">
        <v>25.6</v>
      </c>
      <c r="E189" s="30">
        <v>31.4</v>
      </c>
      <c r="F189" s="30">
        <v>38.799999999999997</v>
      </c>
      <c r="G189" s="30">
        <v>45.7</v>
      </c>
      <c r="H189" s="30">
        <v>52.7</v>
      </c>
      <c r="I189" s="30">
        <v>66.599999999999994</v>
      </c>
      <c r="J189" s="30">
        <v>83.8</v>
      </c>
      <c r="K189" s="30">
        <v>92.8</v>
      </c>
      <c r="L189" s="236">
        <v>111</v>
      </c>
      <c r="M189" s="236">
        <v>129</v>
      </c>
      <c r="N189" s="236">
        <v>141</v>
      </c>
      <c r="O189" s="236">
        <v>143</v>
      </c>
      <c r="P189" s="236">
        <v>155</v>
      </c>
      <c r="Q189" s="236">
        <v>191</v>
      </c>
      <c r="R189" s="236">
        <v>206</v>
      </c>
      <c r="S189" s="236">
        <v>263</v>
      </c>
      <c r="T189" s="325">
        <v>288</v>
      </c>
    </row>
    <row r="190" spans="1:20" ht="12" customHeight="1">
      <c r="A190" s="73">
        <v>355</v>
      </c>
      <c r="B190" s="217" t="s">
        <v>2</v>
      </c>
      <c r="C190" s="179" t="s">
        <v>1</v>
      </c>
      <c r="D190" s="30">
        <v>24.1</v>
      </c>
      <c r="E190" s="82" t="s">
        <v>1</v>
      </c>
      <c r="F190" s="30">
        <v>35.9</v>
      </c>
      <c r="G190" s="82" t="s">
        <v>1</v>
      </c>
      <c r="H190" s="30">
        <v>49.8</v>
      </c>
      <c r="I190" s="82" t="s">
        <v>1</v>
      </c>
      <c r="J190" s="30">
        <v>79.099999999999994</v>
      </c>
      <c r="K190" s="82" t="s">
        <v>1</v>
      </c>
      <c r="L190" s="236">
        <v>104</v>
      </c>
      <c r="M190" s="82" t="s">
        <v>1</v>
      </c>
      <c r="N190" s="236">
        <v>133</v>
      </c>
      <c r="O190" s="82" t="s">
        <v>1</v>
      </c>
      <c r="P190" s="236">
        <v>148</v>
      </c>
      <c r="Q190" s="82" t="s">
        <v>1</v>
      </c>
      <c r="R190" s="236">
        <v>197</v>
      </c>
      <c r="S190" s="82" t="s">
        <v>1</v>
      </c>
      <c r="T190" s="325">
        <v>268</v>
      </c>
    </row>
    <row r="191" spans="1:20" ht="12.3" customHeight="1">
      <c r="A191" s="381">
        <v>400</v>
      </c>
      <c r="B191" s="402" t="s">
        <v>2</v>
      </c>
      <c r="C191" s="362" t="s">
        <v>1</v>
      </c>
      <c r="D191" s="390">
        <v>22.5</v>
      </c>
      <c r="E191" s="363" t="s">
        <v>1</v>
      </c>
      <c r="F191" s="390">
        <v>33.9</v>
      </c>
      <c r="G191" s="363" t="s">
        <v>1</v>
      </c>
      <c r="H191" s="390">
        <v>46.7</v>
      </c>
      <c r="I191" s="363" t="s">
        <v>1</v>
      </c>
      <c r="J191" s="390">
        <v>73.599999999999994</v>
      </c>
      <c r="K191" s="363" t="s">
        <v>1</v>
      </c>
      <c r="L191" s="390">
        <v>99</v>
      </c>
      <c r="M191" s="363" t="s">
        <v>1</v>
      </c>
      <c r="N191" s="363" t="s">
        <v>1</v>
      </c>
      <c r="O191" s="363" t="s">
        <v>1</v>
      </c>
      <c r="P191" s="363" t="s">
        <v>1</v>
      </c>
      <c r="Q191" s="363" t="s">
        <v>1</v>
      </c>
      <c r="R191" s="363" t="s">
        <v>1</v>
      </c>
      <c r="S191" s="363" t="s">
        <v>1</v>
      </c>
      <c r="T191" s="376" t="s">
        <v>1</v>
      </c>
    </row>
    <row r="192" spans="1:20" ht="12.3" customHeight="1"/>
    <row r="193" spans="1:22" ht="12.3" customHeight="1"/>
    <row r="194" spans="1:22" ht="40.799999999999997" customHeight="1">
      <c r="A194" s="475" t="s">
        <v>591</v>
      </c>
      <c r="B194" s="449"/>
      <c r="C194" s="449"/>
      <c r="D194" s="449"/>
      <c r="E194" s="449"/>
      <c r="F194" s="449"/>
      <c r="G194" s="449"/>
      <c r="H194" s="449"/>
      <c r="I194" s="449"/>
      <c r="J194" s="449"/>
      <c r="K194" s="449"/>
      <c r="L194" s="449"/>
      <c r="M194" s="449"/>
      <c r="N194" s="449"/>
      <c r="O194" s="449"/>
      <c r="P194" s="449"/>
      <c r="Q194" s="449"/>
      <c r="R194" s="449"/>
      <c r="S194" s="449"/>
      <c r="T194" s="449"/>
      <c r="U194" s="449"/>
      <c r="V194" s="449"/>
    </row>
    <row r="195" spans="1:22" ht="12.3" customHeight="1">
      <c r="A195" s="450" t="s">
        <v>69</v>
      </c>
      <c r="B195" s="451"/>
      <c r="C195" s="454" t="s">
        <v>14</v>
      </c>
      <c r="D195" s="455"/>
      <c r="E195" s="455"/>
      <c r="F195" s="455"/>
      <c r="G195" s="455"/>
      <c r="H195" s="455"/>
      <c r="I195" s="455"/>
      <c r="J195" s="455"/>
      <c r="K195" s="455"/>
      <c r="L195" s="455"/>
      <c r="M195" s="455"/>
      <c r="N195" s="455"/>
      <c r="O195" s="455"/>
      <c r="P195" s="455"/>
      <c r="Q195" s="455"/>
      <c r="R195" s="455"/>
      <c r="S195" s="455"/>
      <c r="T195" s="455"/>
    </row>
    <row r="196" spans="1:22" ht="9" customHeight="1">
      <c r="A196" s="452"/>
      <c r="B196" s="453"/>
      <c r="C196" s="33">
        <v>5</v>
      </c>
      <c r="D196" s="33">
        <v>6</v>
      </c>
      <c r="E196" s="33">
        <v>7</v>
      </c>
      <c r="F196" s="33">
        <v>8</v>
      </c>
      <c r="G196" s="33">
        <v>9</v>
      </c>
      <c r="H196" s="64">
        <v>10</v>
      </c>
      <c r="I196" s="33">
        <v>11</v>
      </c>
      <c r="J196" s="33">
        <v>12</v>
      </c>
      <c r="K196" s="33">
        <v>13</v>
      </c>
      <c r="L196" s="33">
        <v>14</v>
      </c>
      <c r="M196" s="156">
        <v>15</v>
      </c>
      <c r="N196" s="33">
        <v>16</v>
      </c>
      <c r="O196" s="33">
        <v>17</v>
      </c>
      <c r="P196" s="33">
        <v>18</v>
      </c>
      <c r="Q196" s="33">
        <v>19</v>
      </c>
      <c r="R196" s="33">
        <v>20</v>
      </c>
      <c r="S196" s="33">
        <v>21</v>
      </c>
      <c r="T196" s="34">
        <v>22</v>
      </c>
    </row>
    <row r="197" spans="1:22" ht="12.3" customHeight="1">
      <c r="A197" s="73">
        <v>80</v>
      </c>
      <c r="B197" s="217" t="s">
        <v>2</v>
      </c>
      <c r="C197" s="323" t="s">
        <v>687</v>
      </c>
      <c r="D197" s="82" t="s">
        <v>1</v>
      </c>
      <c r="E197" s="30" t="s">
        <v>688</v>
      </c>
      <c r="F197" s="82" t="s">
        <v>1</v>
      </c>
      <c r="G197" s="30" t="s">
        <v>689</v>
      </c>
      <c r="H197" s="82" t="s">
        <v>1</v>
      </c>
      <c r="I197" s="236">
        <v>120</v>
      </c>
      <c r="J197" s="82" t="s">
        <v>1</v>
      </c>
      <c r="K197" s="236">
        <v>159</v>
      </c>
      <c r="L197" s="82" t="s">
        <v>1</v>
      </c>
      <c r="M197" s="236">
        <v>204</v>
      </c>
      <c r="N197" s="82" t="s">
        <v>1</v>
      </c>
      <c r="O197" s="236">
        <v>229</v>
      </c>
      <c r="P197" s="82" t="s">
        <v>1</v>
      </c>
      <c r="Q197" s="236">
        <v>269</v>
      </c>
      <c r="R197" s="82" t="s">
        <v>1</v>
      </c>
      <c r="S197" s="236">
        <v>287</v>
      </c>
      <c r="T197" s="324" t="s">
        <v>1</v>
      </c>
    </row>
    <row r="198" spans="1:22" ht="12" customHeight="1">
      <c r="A198" s="73">
        <v>90</v>
      </c>
      <c r="B198" s="217" t="s">
        <v>2</v>
      </c>
      <c r="C198" s="323" t="s">
        <v>632</v>
      </c>
      <c r="D198" s="82" t="s">
        <v>1</v>
      </c>
      <c r="E198" s="30" t="s">
        <v>690</v>
      </c>
      <c r="F198" s="82" t="s">
        <v>1</v>
      </c>
      <c r="G198" s="30" t="s">
        <v>691</v>
      </c>
      <c r="H198" s="82" t="s">
        <v>1</v>
      </c>
      <c r="I198" s="236">
        <v>117</v>
      </c>
      <c r="J198" s="82" t="s">
        <v>1</v>
      </c>
      <c r="K198" s="236">
        <v>156</v>
      </c>
      <c r="L198" s="82" t="s">
        <v>1</v>
      </c>
      <c r="M198" s="236">
        <v>202</v>
      </c>
      <c r="N198" s="236">
        <v>212</v>
      </c>
      <c r="O198" s="236">
        <v>226</v>
      </c>
      <c r="P198" s="236">
        <v>239</v>
      </c>
      <c r="Q198" s="236">
        <v>270</v>
      </c>
      <c r="R198" s="236">
        <v>282</v>
      </c>
      <c r="S198" s="236">
        <v>309</v>
      </c>
      <c r="T198" s="325">
        <v>300</v>
      </c>
    </row>
    <row r="199" spans="1:22" ht="12.3" customHeight="1">
      <c r="A199" s="73">
        <v>100</v>
      </c>
      <c r="B199" s="217" t="s">
        <v>2</v>
      </c>
      <c r="C199" s="323" t="s">
        <v>692</v>
      </c>
      <c r="D199" s="30" t="s">
        <v>693</v>
      </c>
      <c r="E199" s="30" t="s">
        <v>694</v>
      </c>
      <c r="F199" s="30" t="s">
        <v>620</v>
      </c>
      <c r="G199" s="30" t="s">
        <v>695</v>
      </c>
      <c r="H199" s="30" t="s">
        <v>696</v>
      </c>
      <c r="I199" s="236" t="s">
        <v>697</v>
      </c>
      <c r="J199" s="236">
        <v>134</v>
      </c>
      <c r="K199" s="236">
        <v>151</v>
      </c>
      <c r="L199" s="236">
        <v>173</v>
      </c>
      <c r="M199" s="236">
        <v>198</v>
      </c>
      <c r="N199" s="236">
        <v>210</v>
      </c>
      <c r="O199" s="236">
        <v>221</v>
      </c>
      <c r="P199" s="236">
        <v>236</v>
      </c>
      <c r="Q199" s="236">
        <v>269</v>
      </c>
      <c r="R199" s="236">
        <v>282</v>
      </c>
      <c r="S199" s="236">
        <v>317</v>
      </c>
      <c r="T199" s="325">
        <v>322</v>
      </c>
    </row>
    <row r="200" spans="1:22" ht="12" customHeight="1">
      <c r="A200" s="73">
        <v>112</v>
      </c>
      <c r="B200" s="217" t="s">
        <v>2</v>
      </c>
      <c r="C200" s="323" t="s">
        <v>698</v>
      </c>
      <c r="D200" s="30" t="s">
        <v>699</v>
      </c>
      <c r="E200" s="30" t="s">
        <v>700</v>
      </c>
      <c r="F200" s="30" t="s">
        <v>701</v>
      </c>
      <c r="G200" s="30" t="s">
        <v>702</v>
      </c>
      <c r="H200" s="30" t="s">
        <v>703</v>
      </c>
      <c r="I200" s="236">
        <v>109</v>
      </c>
      <c r="J200" s="236">
        <v>131</v>
      </c>
      <c r="K200" s="236">
        <v>146</v>
      </c>
      <c r="L200" s="236">
        <v>168</v>
      </c>
      <c r="M200" s="236">
        <v>193</v>
      </c>
      <c r="N200" s="236">
        <v>206</v>
      </c>
      <c r="O200" s="236">
        <v>215</v>
      </c>
      <c r="P200" s="236">
        <v>230</v>
      </c>
      <c r="Q200" s="236">
        <v>265</v>
      </c>
      <c r="R200" s="236">
        <v>280</v>
      </c>
      <c r="S200" s="236">
        <v>320</v>
      </c>
      <c r="T200" s="325">
        <v>328</v>
      </c>
    </row>
    <row r="201" spans="1:22" ht="12.3" customHeight="1">
      <c r="A201" s="73">
        <v>125</v>
      </c>
      <c r="B201" s="217" t="s">
        <v>2</v>
      </c>
      <c r="C201" s="323" t="s">
        <v>679</v>
      </c>
      <c r="D201" s="30" t="s">
        <v>704</v>
      </c>
      <c r="E201" s="30" t="s">
        <v>705</v>
      </c>
      <c r="F201" s="30" t="s">
        <v>706</v>
      </c>
      <c r="G201" s="30" t="s">
        <v>707</v>
      </c>
      <c r="H201" s="30" t="s">
        <v>708</v>
      </c>
      <c r="I201" s="236">
        <v>105</v>
      </c>
      <c r="J201" s="236">
        <v>127</v>
      </c>
      <c r="K201" s="236">
        <v>142</v>
      </c>
      <c r="L201" s="236">
        <v>163</v>
      </c>
      <c r="M201" s="236">
        <v>186</v>
      </c>
      <c r="N201" s="236">
        <v>200</v>
      </c>
      <c r="O201" s="236">
        <v>207</v>
      </c>
      <c r="P201" s="236">
        <v>224</v>
      </c>
      <c r="Q201" s="236">
        <v>259</v>
      </c>
      <c r="R201" s="236">
        <v>275</v>
      </c>
      <c r="S201" s="236">
        <v>316</v>
      </c>
      <c r="T201" s="325">
        <v>331</v>
      </c>
    </row>
    <row r="202" spans="1:22" ht="12" customHeight="1">
      <c r="A202" s="73">
        <v>140</v>
      </c>
      <c r="B202" s="217" t="s">
        <v>2</v>
      </c>
      <c r="C202" s="323" t="s">
        <v>709</v>
      </c>
      <c r="D202" s="30" t="s">
        <v>600</v>
      </c>
      <c r="E202" s="30" t="s">
        <v>710</v>
      </c>
      <c r="F202" s="30" t="s">
        <v>711</v>
      </c>
      <c r="G202" s="30" t="s">
        <v>685</v>
      </c>
      <c r="H202" s="30" t="s">
        <v>712</v>
      </c>
      <c r="I202" s="30">
        <v>100</v>
      </c>
      <c r="J202" s="236">
        <v>122</v>
      </c>
      <c r="K202" s="236">
        <v>135</v>
      </c>
      <c r="L202" s="236">
        <v>158</v>
      </c>
      <c r="M202" s="236">
        <v>181</v>
      </c>
      <c r="N202" s="236">
        <v>193</v>
      </c>
      <c r="O202" s="236">
        <v>202</v>
      </c>
      <c r="P202" s="236">
        <v>216</v>
      </c>
      <c r="Q202" s="236">
        <v>254</v>
      </c>
      <c r="R202" s="236">
        <v>268</v>
      </c>
      <c r="S202" s="236">
        <v>313</v>
      </c>
      <c r="T202" s="325">
        <v>338</v>
      </c>
    </row>
    <row r="203" spans="1:22" ht="12.3" customHeight="1">
      <c r="A203" s="73">
        <v>160</v>
      </c>
      <c r="B203" s="217" t="s">
        <v>2</v>
      </c>
      <c r="C203" s="323" t="s">
        <v>713</v>
      </c>
      <c r="D203" s="30" t="s">
        <v>714</v>
      </c>
      <c r="E203" s="30" t="s">
        <v>715</v>
      </c>
      <c r="F203" s="30" t="s">
        <v>716</v>
      </c>
      <c r="G203" s="30" t="s">
        <v>717</v>
      </c>
      <c r="H203" s="30" t="s">
        <v>597</v>
      </c>
      <c r="I203" s="30" t="s">
        <v>718</v>
      </c>
      <c r="J203" s="236">
        <v>117</v>
      </c>
      <c r="K203" s="236">
        <v>128</v>
      </c>
      <c r="L203" s="236">
        <v>153</v>
      </c>
      <c r="M203" s="236">
        <v>174</v>
      </c>
      <c r="N203" s="236">
        <v>188</v>
      </c>
      <c r="O203" s="236">
        <v>193</v>
      </c>
      <c r="P203" s="236">
        <v>210</v>
      </c>
      <c r="Q203" s="236">
        <v>245</v>
      </c>
      <c r="R203" s="236">
        <v>263</v>
      </c>
      <c r="S203" s="236">
        <v>305</v>
      </c>
      <c r="T203" s="325">
        <v>322</v>
      </c>
    </row>
    <row r="204" spans="1:22" ht="12" customHeight="1">
      <c r="A204" s="73">
        <v>180</v>
      </c>
      <c r="B204" s="217" t="s">
        <v>2</v>
      </c>
      <c r="C204" s="323" t="s">
        <v>719</v>
      </c>
      <c r="D204" s="30" t="s">
        <v>720</v>
      </c>
      <c r="E204" s="30" t="s">
        <v>721</v>
      </c>
      <c r="F204" s="30" t="s">
        <v>722</v>
      </c>
      <c r="G204" s="30" t="s">
        <v>701</v>
      </c>
      <c r="H204" s="30" t="s">
        <v>723</v>
      </c>
      <c r="I204" s="30" t="s">
        <v>724</v>
      </c>
      <c r="J204" s="236">
        <v>112</v>
      </c>
      <c r="K204" s="236">
        <v>121</v>
      </c>
      <c r="L204" s="236">
        <v>146</v>
      </c>
      <c r="M204" s="236">
        <v>165</v>
      </c>
      <c r="N204" s="236">
        <v>180</v>
      </c>
      <c r="O204" s="236">
        <v>183</v>
      </c>
      <c r="P204" s="236">
        <v>201</v>
      </c>
      <c r="Q204" s="236">
        <v>232</v>
      </c>
      <c r="R204" s="236">
        <v>253</v>
      </c>
      <c r="S204" s="236">
        <v>294</v>
      </c>
      <c r="T204" s="325">
        <v>315</v>
      </c>
    </row>
    <row r="205" spans="1:22" ht="12.3" customHeight="1">
      <c r="A205" s="73">
        <v>200</v>
      </c>
      <c r="B205" s="217" t="s">
        <v>2</v>
      </c>
      <c r="C205" s="323" t="s">
        <v>725</v>
      </c>
      <c r="D205" s="30" t="s">
        <v>556</v>
      </c>
      <c r="E205" s="30" t="s">
        <v>726</v>
      </c>
      <c r="F205" s="30" t="s">
        <v>727</v>
      </c>
      <c r="G205" s="30" t="s">
        <v>701</v>
      </c>
      <c r="H205" s="30" t="s">
        <v>728</v>
      </c>
      <c r="I205" s="30" t="s">
        <v>729</v>
      </c>
      <c r="J205" s="30">
        <v>101</v>
      </c>
      <c r="K205" s="236">
        <v>121</v>
      </c>
      <c r="L205" s="236">
        <v>138</v>
      </c>
      <c r="M205" s="236">
        <v>170</v>
      </c>
      <c r="N205" s="236">
        <v>171</v>
      </c>
      <c r="O205" s="236">
        <v>187</v>
      </c>
      <c r="P205" s="236">
        <v>190</v>
      </c>
      <c r="Q205" s="236">
        <v>242</v>
      </c>
      <c r="R205" s="236">
        <v>240</v>
      </c>
      <c r="S205" s="236">
        <v>332</v>
      </c>
      <c r="T205" s="325">
        <v>302</v>
      </c>
    </row>
    <row r="206" spans="1:22" ht="12" customHeight="1">
      <c r="A206" s="73">
        <v>224</v>
      </c>
      <c r="B206" s="217" t="s">
        <v>2</v>
      </c>
      <c r="C206" s="323" t="s">
        <v>730</v>
      </c>
      <c r="D206" s="30" t="s">
        <v>731</v>
      </c>
      <c r="E206" s="30" t="s">
        <v>732</v>
      </c>
      <c r="F206" s="30" t="s">
        <v>606</v>
      </c>
      <c r="G206" s="30" t="s">
        <v>733</v>
      </c>
      <c r="H206" s="30" t="s">
        <v>675</v>
      </c>
      <c r="I206" s="30" t="s">
        <v>734</v>
      </c>
      <c r="J206" s="30" t="s">
        <v>735</v>
      </c>
      <c r="K206" s="236">
        <v>113</v>
      </c>
      <c r="L206" s="236">
        <v>130</v>
      </c>
      <c r="M206" s="236">
        <v>159</v>
      </c>
      <c r="N206" s="236">
        <v>175</v>
      </c>
      <c r="O206" s="236">
        <v>175</v>
      </c>
      <c r="P206" s="236">
        <v>194</v>
      </c>
      <c r="Q206" s="236">
        <v>228</v>
      </c>
      <c r="R206" s="236">
        <v>250</v>
      </c>
      <c r="S206" s="236">
        <v>314</v>
      </c>
      <c r="T206" s="325">
        <v>340</v>
      </c>
    </row>
    <row r="207" spans="1:22" ht="12.3" customHeight="1">
      <c r="A207" s="73">
        <v>250</v>
      </c>
      <c r="B207" s="217" t="s">
        <v>2</v>
      </c>
      <c r="C207" s="323" t="s">
        <v>736</v>
      </c>
      <c r="D207" s="30" t="s">
        <v>737</v>
      </c>
      <c r="E207" s="30" t="s">
        <v>738</v>
      </c>
      <c r="F207" s="30" t="s">
        <v>739</v>
      </c>
      <c r="G207" s="30" t="s">
        <v>740</v>
      </c>
      <c r="H207" s="30" t="s">
        <v>741</v>
      </c>
      <c r="I207" s="30" t="s">
        <v>742</v>
      </c>
      <c r="J207" s="30" t="s">
        <v>735</v>
      </c>
      <c r="K207" s="236">
        <v>109</v>
      </c>
      <c r="L207" s="236">
        <v>130</v>
      </c>
      <c r="M207" s="236">
        <v>152</v>
      </c>
      <c r="N207" s="236">
        <v>164</v>
      </c>
      <c r="O207" s="236">
        <v>168</v>
      </c>
      <c r="P207" s="236">
        <v>181</v>
      </c>
      <c r="Q207" s="236">
        <v>220</v>
      </c>
      <c r="R207" s="236">
        <v>235</v>
      </c>
      <c r="S207" s="236">
        <v>304</v>
      </c>
      <c r="T207" s="325">
        <v>322</v>
      </c>
    </row>
    <row r="208" spans="1:22" ht="12" customHeight="1">
      <c r="A208" s="73">
        <v>280</v>
      </c>
      <c r="B208" s="217" t="s">
        <v>2</v>
      </c>
      <c r="C208" s="323" t="s">
        <v>670</v>
      </c>
      <c r="D208" s="30" t="s">
        <v>743</v>
      </c>
      <c r="E208" s="30" t="s">
        <v>592</v>
      </c>
      <c r="F208" s="30" t="s">
        <v>726</v>
      </c>
      <c r="G208" s="30" t="s">
        <v>744</v>
      </c>
      <c r="H208" s="30" t="s">
        <v>745</v>
      </c>
      <c r="I208" s="30" t="s">
        <v>746</v>
      </c>
      <c r="J208" s="30" t="s">
        <v>747</v>
      </c>
      <c r="K208" s="30">
        <v>102</v>
      </c>
      <c r="L208" s="236">
        <v>121</v>
      </c>
      <c r="M208" s="236">
        <v>142</v>
      </c>
      <c r="N208" s="236">
        <v>157</v>
      </c>
      <c r="O208" s="236">
        <v>157</v>
      </c>
      <c r="P208" s="236">
        <v>174</v>
      </c>
      <c r="Q208" s="236">
        <v>208</v>
      </c>
      <c r="R208" s="236">
        <v>227</v>
      </c>
      <c r="S208" s="236">
        <v>291</v>
      </c>
      <c r="T208" s="325">
        <v>312</v>
      </c>
    </row>
    <row r="209" spans="1:20" ht="12.3" customHeight="1">
      <c r="A209" s="73">
        <v>315</v>
      </c>
      <c r="B209" s="217" t="s">
        <v>2</v>
      </c>
      <c r="C209" s="323" t="s">
        <v>748</v>
      </c>
      <c r="D209" s="30" t="s">
        <v>749</v>
      </c>
      <c r="E209" s="30" t="s">
        <v>750</v>
      </c>
      <c r="F209" s="30" t="s">
        <v>751</v>
      </c>
      <c r="G209" s="30" t="s">
        <v>752</v>
      </c>
      <c r="H209" s="30" t="s">
        <v>753</v>
      </c>
      <c r="I209" s="30" t="s">
        <v>754</v>
      </c>
      <c r="J209" s="30" t="s">
        <v>724</v>
      </c>
      <c r="K209" s="30" t="s">
        <v>755</v>
      </c>
      <c r="L209" s="236">
        <v>116</v>
      </c>
      <c r="M209" s="236">
        <v>136</v>
      </c>
      <c r="N209" s="236">
        <v>147</v>
      </c>
      <c r="O209" s="236">
        <v>150</v>
      </c>
      <c r="P209" s="236">
        <v>163</v>
      </c>
      <c r="Q209" s="236">
        <v>199</v>
      </c>
      <c r="R209" s="236">
        <v>214</v>
      </c>
      <c r="S209" s="236">
        <v>272</v>
      </c>
      <c r="T209" s="325">
        <v>298</v>
      </c>
    </row>
    <row r="210" spans="1:20" ht="12" customHeight="1">
      <c r="A210" s="73">
        <v>355</v>
      </c>
      <c r="B210" s="217" t="s">
        <v>2</v>
      </c>
      <c r="C210" s="179" t="s">
        <v>1</v>
      </c>
      <c r="D210" s="30" t="s">
        <v>756</v>
      </c>
      <c r="E210" s="82" t="s">
        <v>1</v>
      </c>
      <c r="F210" s="30" t="s">
        <v>600</v>
      </c>
      <c r="G210" s="82" t="s">
        <v>1</v>
      </c>
      <c r="H210" s="30" t="s">
        <v>757</v>
      </c>
      <c r="I210" s="82" t="s">
        <v>1</v>
      </c>
      <c r="J210" s="30" t="s">
        <v>758</v>
      </c>
      <c r="K210" s="82" t="s">
        <v>1</v>
      </c>
      <c r="L210" s="236">
        <v>109</v>
      </c>
      <c r="M210" s="82" t="s">
        <v>1</v>
      </c>
      <c r="N210" s="236">
        <v>140</v>
      </c>
      <c r="O210" s="82" t="s">
        <v>1</v>
      </c>
      <c r="P210" s="236">
        <v>155</v>
      </c>
      <c r="Q210" s="82" t="s">
        <v>1</v>
      </c>
      <c r="R210" s="236">
        <v>205</v>
      </c>
      <c r="S210" s="82" t="s">
        <v>1</v>
      </c>
      <c r="T210" s="325">
        <v>278</v>
      </c>
    </row>
    <row r="211" spans="1:20" ht="12.3" customHeight="1">
      <c r="A211" s="381">
        <v>400</v>
      </c>
      <c r="B211" s="402" t="s">
        <v>2</v>
      </c>
      <c r="C211" s="362" t="s">
        <v>1</v>
      </c>
      <c r="D211" s="390" t="s">
        <v>670</v>
      </c>
      <c r="E211" s="363" t="s">
        <v>1</v>
      </c>
      <c r="F211" s="390" t="s">
        <v>759</v>
      </c>
      <c r="G211" s="363" t="s">
        <v>1</v>
      </c>
      <c r="H211" s="390" t="s">
        <v>760</v>
      </c>
      <c r="I211" s="363" t="s">
        <v>1</v>
      </c>
      <c r="J211" s="390" t="s">
        <v>761</v>
      </c>
      <c r="K211" s="363" t="s">
        <v>1</v>
      </c>
      <c r="L211" s="390">
        <v>104</v>
      </c>
      <c r="M211" s="363" t="s">
        <v>1</v>
      </c>
      <c r="N211" s="363" t="s">
        <v>1</v>
      </c>
      <c r="O211" s="363" t="s">
        <v>1</v>
      </c>
      <c r="P211" s="363" t="s">
        <v>1</v>
      </c>
      <c r="Q211" s="363" t="s">
        <v>1</v>
      </c>
      <c r="R211" s="363" t="s">
        <v>1</v>
      </c>
      <c r="S211" s="363" t="s">
        <v>1</v>
      </c>
      <c r="T211" s="376" t="s">
        <v>1</v>
      </c>
    </row>
  </sheetData>
  <mergeCells count="83"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0:C10"/>
    <mergeCell ref="B11:C11"/>
    <mergeCell ref="B12:C12"/>
    <mergeCell ref="B13:C13"/>
    <mergeCell ref="B17:C17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  <mergeCell ref="B8:C8"/>
    <mergeCell ref="B9:C9"/>
    <mergeCell ref="A194:V194"/>
    <mergeCell ref="A195:B196"/>
    <mergeCell ref="C195:T195"/>
    <mergeCell ref="AA105:AA118"/>
    <mergeCell ref="AA88:AA104"/>
    <mergeCell ref="A174:V174"/>
    <mergeCell ref="A175:B176"/>
    <mergeCell ref="C175:T175"/>
    <mergeCell ref="A134:V134"/>
    <mergeCell ref="A135:B136"/>
    <mergeCell ref="C135:T135"/>
    <mergeCell ref="A154:V154"/>
    <mergeCell ref="A155:B156"/>
    <mergeCell ref="C155:T155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49" t="s">
        <v>525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</row>
    <row r="2" spans="1:29" ht="12" customHeight="1">
      <c r="A2" s="474" t="s">
        <v>14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474"/>
    </row>
    <row r="3" spans="1:29" ht="11.7" customHeight="1">
      <c r="A3" s="504" t="s">
        <v>559</v>
      </c>
      <c r="B3" s="504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501">
        <v>1.25</v>
      </c>
      <c r="B4" s="501"/>
      <c r="C4" s="295">
        <v>1.2430000000000001</v>
      </c>
      <c r="D4" s="82" t="s">
        <v>1</v>
      </c>
      <c r="E4" s="333">
        <v>1.256</v>
      </c>
      <c r="F4" s="82" t="s">
        <v>1</v>
      </c>
      <c r="G4" s="333">
        <v>1.2629999999999999</v>
      </c>
      <c r="H4" s="82" t="s">
        <v>1</v>
      </c>
      <c r="I4" s="333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56" t="s">
        <v>175</v>
      </c>
    </row>
    <row r="5" spans="1:29" ht="12" customHeight="1">
      <c r="A5" s="502">
        <v>1.4</v>
      </c>
      <c r="B5" s="502"/>
      <c r="C5" s="295">
        <v>1.371</v>
      </c>
      <c r="D5" s="82" t="s">
        <v>1</v>
      </c>
      <c r="E5" s="333">
        <v>1.3779999999999999</v>
      </c>
      <c r="F5" s="82" t="s">
        <v>1</v>
      </c>
      <c r="G5" s="333">
        <v>1.389</v>
      </c>
      <c r="H5" s="82" t="s">
        <v>1</v>
      </c>
      <c r="I5" s="333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57"/>
    </row>
    <row r="6" spans="1:29" ht="11.7" customHeight="1">
      <c r="A6" s="502">
        <v>1.6</v>
      </c>
      <c r="B6" s="502"/>
      <c r="C6" s="295">
        <v>1.5940000000000001</v>
      </c>
      <c r="D6" s="82" t="s">
        <v>1</v>
      </c>
      <c r="E6" s="333">
        <v>1.5880000000000001</v>
      </c>
      <c r="F6" s="82" t="s">
        <v>1</v>
      </c>
      <c r="G6" s="333">
        <v>1.6060000000000001</v>
      </c>
      <c r="H6" s="82" t="s">
        <v>1</v>
      </c>
      <c r="I6" s="333">
        <v>1.625</v>
      </c>
      <c r="J6" s="82" t="s">
        <v>1</v>
      </c>
      <c r="K6" s="333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57"/>
    </row>
    <row r="7" spans="1:29" ht="11.7" customHeight="1">
      <c r="A7" s="502">
        <v>1.8</v>
      </c>
      <c r="B7" s="502"/>
      <c r="C7" s="295">
        <v>1.829</v>
      </c>
      <c r="D7" s="82" t="s">
        <v>1</v>
      </c>
      <c r="E7" s="333">
        <v>1.839</v>
      </c>
      <c r="F7" s="82" t="s">
        <v>1</v>
      </c>
      <c r="G7" s="333">
        <v>1.774</v>
      </c>
      <c r="H7" s="82" t="s">
        <v>1</v>
      </c>
      <c r="I7" s="333">
        <v>1.8</v>
      </c>
      <c r="J7" s="82" t="s">
        <v>1</v>
      </c>
      <c r="K7" s="333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57"/>
    </row>
    <row r="8" spans="1:29" ht="12" customHeight="1">
      <c r="A8" s="502">
        <v>2</v>
      </c>
      <c r="B8" s="502"/>
      <c r="C8" s="295">
        <v>2</v>
      </c>
      <c r="D8" s="82" t="s">
        <v>1</v>
      </c>
      <c r="E8" s="333">
        <v>2.0339999999999998</v>
      </c>
      <c r="F8" s="82" t="s">
        <v>1</v>
      </c>
      <c r="G8" s="333">
        <v>1.966</v>
      </c>
      <c r="H8" s="82" t="s">
        <v>1</v>
      </c>
      <c r="I8" s="333">
        <v>2</v>
      </c>
      <c r="J8" s="82" t="s">
        <v>1</v>
      </c>
      <c r="K8" s="333">
        <v>2</v>
      </c>
      <c r="L8" s="82" t="s">
        <v>1</v>
      </c>
      <c r="M8" s="295">
        <v>2.0339999999999998</v>
      </c>
      <c r="N8" s="82" t="s">
        <v>1</v>
      </c>
      <c r="O8" s="333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57"/>
    </row>
    <row r="9" spans="1:29" ht="11.7" customHeight="1">
      <c r="A9" s="501">
        <v>2.2400000000000002</v>
      </c>
      <c r="B9" s="501"/>
      <c r="C9" s="295">
        <v>2.194</v>
      </c>
      <c r="D9" s="82" t="s">
        <v>1</v>
      </c>
      <c r="E9" s="333">
        <v>2.2589999999999999</v>
      </c>
      <c r="F9" s="82" t="s">
        <v>1</v>
      </c>
      <c r="G9" s="333">
        <v>2.3079999999999998</v>
      </c>
      <c r="H9" s="334"/>
      <c r="I9" s="333">
        <v>2.2309999999999999</v>
      </c>
      <c r="J9" s="82" t="s">
        <v>1</v>
      </c>
      <c r="K9" s="333">
        <v>2.222</v>
      </c>
      <c r="L9" s="82" t="s">
        <v>1</v>
      </c>
      <c r="M9" s="295">
        <v>2.2589999999999999</v>
      </c>
      <c r="N9" s="82" t="s">
        <v>1</v>
      </c>
      <c r="O9" s="333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57"/>
    </row>
    <row r="10" spans="1:29" ht="11.7" customHeight="1">
      <c r="A10" s="502">
        <v>2.5</v>
      </c>
      <c r="B10" s="502"/>
      <c r="C10" s="295">
        <v>2.536</v>
      </c>
      <c r="D10" s="82" t="s">
        <v>1</v>
      </c>
      <c r="E10" s="333">
        <v>2.52</v>
      </c>
      <c r="F10" s="82" t="s">
        <v>1</v>
      </c>
      <c r="G10" s="333">
        <v>2.5830000000000002</v>
      </c>
      <c r="H10" s="82" t="s">
        <v>1</v>
      </c>
      <c r="I10" s="333">
        <v>2.5</v>
      </c>
      <c r="J10" s="82" t="s">
        <v>1</v>
      </c>
      <c r="K10" s="333">
        <v>2.48</v>
      </c>
      <c r="L10" s="82" t="s">
        <v>1</v>
      </c>
      <c r="M10" s="295">
        <v>2.52</v>
      </c>
      <c r="N10" s="82" t="s">
        <v>1</v>
      </c>
      <c r="O10" s="333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57"/>
    </row>
    <row r="11" spans="1:29" ht="12" customHeight="1">
      <c r="A11" s="502">
        <v>2.8</v>
      </c>
      <c r="B11" s="502"/>
      <c r="C11" s="295">
        <v>2.8079999999999998</v>
      </c>
      <c r="D11" s="82" t="s">
        <v>1</v>
      </c>
      <c r="E11" s="333">
        <v>2.8260000000000001</v>
      </c>
      <c r="F11" s="82" t="s">
        <v>1</v>
      </c>
      <c r="G11" s="333">
        <v>2.8</v>
      </c>
      <c r="H11" s="82" t="s">
        <v>1</v>
      </c>
      <c r="I11" s="333">
        <v>2.7410000000000001</v>
      </c>
      <c r="J11" s="82" t="s">
        <v>1</v>
      </c>
      <c r="K11" s="333">
        <v>2.7829999999999999</v>
      </c>
      <c r="L11" s="82" t="s">
        <v>1</v>
      </c>
      <c r="M11" s="295">
        <v>2.8260000000000001</v>
      </c>
      <c r="N11" s="82" t="s">
        <v>1</v>
      </c>
      <c r="O11" s="333">
        <v>2.76</v>
      </c>
      <c r="P11" s="82" t="s">
        <v>1</v>
      </c>
      <c r="Q11" s="333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57"/>
    </row>
    <row r="12" spans="1:29" ht="11.7" customHeight="1">
      <c r="A12" s="501">
        <v>3.15</v>
      </c>
      <c r="B12" s="501"/>
      <c r="C12" s="295">
        <v>3.125</v>
      </c>
      <c r="D12" s="82" t="s">
        <v>1</v>
      </c>
      <c r="E12" s="333">
        <v>3.19</v>
      </c>
      <c r="F12" s="82" t="s">
        <v>1</v>
      </c>
      <c r="G12" s="333">
        <v>3.13</v>
      </c>
      <c r="H12" s="82" t="s">
        <v>1</v>
      </c>
      <c r="I12" s="333">
        <v>3.2080000000000002</v>
      </c>
      <c r="J12" s="82" t="s">
        <v>1</v>
      </c>
      <c r="K12" s="333">
        <v>3.08</v>
      </c>
      <c r="L12" s="82" t="s">
        <v>1</v>
      </c>
      <c r="M12" s="295">
        <v>3.2080000000000002</v>
      </c>
      <c r="N12" s="82" t="s">
        <v>1</v>
      </c>
      <c r="O12" s="333">
        <v>3.0870000000000002</v>
      </c>
      <c r="P12" s="82" t="s">
        <v>1</v>
      </c>
      <c r="Q12" s="333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57"/>
    </row>
    <row r="13" spans="1:29" ht="11.7" customHeight="1">
      <c r="A13" s="501">
        <v>3.55</v>
      </c>
      <c r="B13" s="501"/>
      <c r="C13" s="295">
        <v>3.5</v>
      </c>
      <c r="D13" s="82" t="s">
        <v>1</v>
      </c>
      <c r="E13" s="333">
        <v>3.5910000000000002</v>
      </c>
      <c r="F13" s="82" t="s">
        <v>1</v>
      </c>
      <c r="G13" s="333">
        <v>3.524</v>
      </c>
      <c r="H13" s="82" t="s">
        <v>1</v>
      </c>
      <c r="I13" s="333">
        <v>3.5910000000000002</v>
      </c>
      <c r="J13" s="82" t="s">
        <v>1</v>
      </c>
      <c r="K13" s="333">
        <v>3.4780000000000002</v>
      </c>
      <c r="L13" s="82" t="s">
        <v>1</v>
      </c>
      <c r="M13" s="295">
        <v>3.5910000000000002</v>
      </c>
      <c r="N13" s="82" t="s">
        <v>1</v>
      </c>
      <c r="O13" s="333">
        <v>3.476</v>
      </c>
      <c r="P13" s="82" t="s">
        <v>1</v>
      </c>
      <c r="Q13" s="333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57"/>
    </row>
    <row r="14" spans="1:29" ht="12" customHeight="1">
      <c r="A14" s="502">
        <v>4</v>
      </c>
      <c r="B14" s="502"/>
      <c r="C14" s="295">
        <v>3.95</v>
      </c>
      <c r="D14" s="82" t="s">
        <v>1</v>
      </c>
      <c r="E14" s="333">
        <v>4.05</v>
      </c>
      <c r="F14" s="82" t="s">
        <v>1</v>
      </c>
      <c r="G14" s="333">
        <v>4</v>
      </c>
      <c r="H14" s="82" t="s">
        <v>1</v>
      </c>
      <c r="I14" s="333">
        <v>4.05</v>
      </c>
      <c r="J14" s="82" t="s">
        <v>1</v>
      </c>
      <c r="K14" s="333">
        <v>3.9049999999999998</v>
      </c>
      <c r="L14" s="82" t="s">
        <v>1</v>
      </c>
      <c r="M14" s="295">
        <v>4.05</v>
      </c>
      <c r="N14" s="82" t="s">
        <v>1</v>
      </c>
      <c r="O14" s="333">
        <v>3.9470000000000001</v>
      </c>
      <c r="P14" s="82" t="s">
        <v>1</v>
      </c>
      <c r="Q14" s="333">
        <v>3.9470000000000001</v>
      </c>
      <c r="R14" s="82" t="s">
        <v>1</v>
      </c>
      <c r="S14" s="333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57"/>
    </row>
    <row r="15" spans="1:29" ht="11.7" customHeight="1">
      <c r="A15" s="502">
        <v>4.5</v>
      </c>
      <c r="B15" s="502"/>
      <c r="C15" s="295">
        <v>4.4349999999999996</v>
      </c>
      <c r="D15" s="82" t="s">
        <v>1</v>
      </c>
      <c r="E15" s="333">
        <v>4.6189999999999998</v>
      </c>
      <c r="F15" s="82" t="s">
        <v>1</v>
      </c>
      <c r="G15" s="333">
        <v>4.4000000000000004</v>
      </c>
      <c r="H15" s="82" t="s">
        <v>1</v>
      </c>
      <c r="I15" s="333">
        <v>4.3810000000000002</v>
      </c>
      <c r="J15" s="82" t="s">
        <v>1</v>
      </c>
      <c r="K15" s="333">
        <v>4.4210000000000003</v>
      </c>
      <c r="L15" s="82" t="s">
        <v>1</v>
      </c>
      <c r="M15" s="295">
        <v>4.6189999999999998</v>
      </c>
      <c r="N15" s="82" t="s">
        <v>1</v>
      </c>
      <c r="O15" s="333">
        <v>4.5789999999999997</v>
      </c>
      <c r="P15" s="82" t="s">
        <v>1</v>
      </c>
      <c r="Q15" s="333">
        <v>4.5259999999999998</v>
      </c>
      <c r="R15" s="82" t="s">
        <v>1</v>
      </c>
      <c r="S15" s="333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57"/>
    </row>
    <row r="16" spans="1:29" ht="11.7" customHeight="1">
      <c r="A16" s="502">
        <v>5</v>
      </c>
      <c r="B16" s="502"/>
      <c r="C16" s="295">
        <v>4.952</v>
      </c>
      <c r="D16" s="82" t="s">
        <v>1</v>
      </c>
      <c r="E16" s="333">
        <v>4.9000000000000004</v>
      </c>
      <c r="F16" s="82" t="s">
        <v>1</v>
      </c>
      <c r="G16" s="333">
        <v>4.9050000000000002</v>
      </c>
      <c r="H16" s="82" t="s">
        <v>1</v>
      </c>
      <c r="I16" s="333">
        <v>4.9470000000000001</v>
      </c>
      <c r="J16" s="82" t="s">
        <v>1</v>
      </c>
      <c r="K16" s="333">
        <v>5.15</v>
      </c>
      <c r="L16" s="82" t="s">
        <v>1</v>
      </c>
      <c r="M16" s="295">
        <v>4.9000000000000004</v>
      </c>
      <c r="N16" s="82" t="s">
        <v>1</v>
      </c>
      <c r="O16" s="333">
        <v>5.0999999999999996</v>
      </c>
      <c r="P16" s="82" t="s">
        <v>1</v>
      </c>
      <c r="Q16" s="333">
        <v>4.9000000000000004</v>
      </c>
      <c r="R16" s="82" t="s">
        <v>1</v>
      </c>
      <c r="S16" s="333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57"/>
    </row>
    <row r="17" spans="1:29" ht="12" customHeight="1">
      <c r="A17" s="502">
        <v>5.6</v>
      </c>
      <c r="B17" s="502"/>
      <c r="C17" s="295">
        <v>5.5789999999999997</v>
      </c>
      <c r="D17" s="82" t="s">
        <v>1</v>
      </c>
      <c r="E17" s="333">
        <v>5.556</v>
      </c>
      <c r="F17" s="82" t="s">
        <v>1</v>
      </c>
      <c r="G17" s="333">
        <v>5.5259999999999998</v>
      </c>
      <c r="H17" s="82" t="s">
        <v>1</v>
      </c>
      <c r="I17" s="333">
        <v>5.6840000000000002</v>
      </c>
      <c r="J17" s="82" t="s">
        <v>1</v>
      </c>
      <c r="K17" s="333">
        <v>5.4740000000000002</v>
      </c>
      <c r="L17" s="82" t="s">
        <v>1</v>
      </c>
      <c r="M17" s="295">
        <v>5.556</v>
      </c>
      <c r="N17" s="82" t="s">
        <v>1</v>
      </c>
      <c r="O17" s="333">
        <v>5.7779999999999996</v>
      </c>
      <c r="P17" s="82" t="s">
        <v>1</v>
      </c>
      <c r="Q17" s="333">
        <v>5.556</v>
      </c>
      <c r="R17" s="82" t="s">
        <v>1</v>
      </c>
      <c r="S17" s="333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57"/>
    </row>
    <row r="18" spans="1:29" ht="11.7" customHeight="1">
      <c r="A18" s="502">
        <v>6.3</v>
      </c>
      <c r="B18" s="502"/>
      <c r="C18" s="335" t="s">
        <v>1</v>
      </c>
      <c r="D18" s="336">
        <v>6.319</v>
      </c>
      <c r="E18" s="336">
        <v>6.2859999999999996</v>
      </c>
      <c r="F18" s="82" t="s">
        <v>1</v>
      </c>
      <c r="G18" s="336">
        <v>6.0880000000000001</v>
      </c>
      <c r="H18" s="82" t="s">
        <v>1</v>
      </c>
      <c r="I18" s="336">
        <v>6.26</v>
      </c>
      <c r="J18" s="82" t="s">
        <v>1</v>
      </c>
      <c r="K18" s="336">
        <v>6.2460000000000004</v>
      </c>
      <c r="L18" s="82" t="s">
        <v>1</v>
      </c>
      <c r="M18" s="294">
        <v>6.41</v>
      </c>
      <c r="N18" s="82" t="s">
        <v>1</v>
      </c>
      <c r="O18" s="336">
        <v>6.4489999999999998</v>
      </c>
      <c r="P18" s="82" t="s">
        <v>1</v>
      </c>
      <c r="Q18" s="336">
        <v>6.1539999999999999</v>
      </c>
      <c r="R18" s="82" t="s">
        <v>1</v>
      </c>
      <c r="S18" s="336">
        <v>6.41</v>
      </c>
      <c r="T18" s="82" t="s">
        <v>1</v>
      </c>
      <c r="U18" s="336">
        <v>6.5</v>
      </c>
      <c r="V18" s="82" t="s">
        <v>1</v>
      </c>
      <c r="W18" s="336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57"/>
    </row>
    <row r="19" spans="1:29" ht="11.7" customHeight="1">
      <c r="A19" s="502">
        <v>7.1</v>
      </c>
      <c r="B19" s="502"/>
      <c r="C19" s="335" t="s">
        <v>1</v>
      </c>
      <c r="D19" s="336">
        <v>6.8570000000000002</v>
      </c>
      <c r="E19" s="336">
        <v>7.2130000000000001</v>
      </c>
      <c r="F19" s="82" t="s">
        <v>1</v>
      </c>
      <c r="G19" s="336">
        <v>7.048</v>
      </c>
      <c r="H19" s="82" t="s">
        <v>1</v>
      </c>
      <c r="I19" s="336">
        <v>7.2469999999999999</v>
      </c>
      <c r="J19" s="82" t="s">
        <v>1</v>
      </c>
      <c r="K19" s="336">
        <v>6.9</v>
      </c>
      <c r="L19" s="82" t="s">
        <v>1</v>
      </c>
      <c r="M19" s="294">
        <v>7.1</v>
      </c>
      <c r="N19" s="82" t="s">
        <v>1</v>
      </c>
      <c r="O19" s="336">
        <v>7.12</v>
      </c>
      <c r="P19" s="336">
        <v>7.3159999999999998</v>
      </c>
      <c r="Q19" s="336">
        <v>7.125</v>
      </c>
      <c r="R19" s="336">
        <v>7.1470000000000002</v>
      </c>
      <c r="S19" s="336">
        <v>7.1</v>
      </c>
      <c r="T19" s="336">
        <v>7.3120000000000003</v>
      </c>
      <c r="U19" s="336">
        <v>7.2</v>
      </c>
      <c r="V19" s="336">
        <v>7.2649999999999997</v>
      </c>
      <c r="W19" s="336">
        <v>7.2220000000000004</v>
      </c>
      <c r="X19" s="336">
        <v>7.242</v>
      </c>
      <c r="Y19" s="294">
        <v>7.1020000000000003</v>
      </c>
      <c r="Z19" s="336">
        <v>7.3230000000000004</v>
      </c>
      <c r="AA19" s="82" t="s">
        <v>1</v>
      </c>
      <c r="AB19" s="82" t="s">
        <v>1</v>
      </c>
      <c r="AC19" s="457"/>
    </row>
    <row r="20" spans="1:29" ht="12" customHeight="1">
      <c r="A20" s="502">
        <v>8</v>
      </c>
      <c r="B20" s="502"/>
      <c r="C20" s="335" t="s">
        <v>1</v>
      </c>
      <c r="D20" s="336">
        <v>7.7779999999999996</v>
      </c>
      <c r="E20" s="336">
        <v>7.8890000000000002</v>
      </c>
      <c r="F20" s="336">
        <v>7.7919999999999998</v>
      </c>
      <c r="G20" s="336">
        <v>7.7990000000000004</v>
      </c>
      <c r="H20" s="336">
        <v>7.6760000000000002</v>
      </c>
      <c r="I20" s="336">
        <v>8.0180000000000007</v>
      </c>
      <c r="J20" s="336">
        <v>7.8479999999999999</v>
      </c>
      <c r="K20" s="336">
        <v>7.6440000000000001</v>
      </c>
      <c r="L20" s="336">
        <v>7.9409999999999998</v>
      </c>
      <c r="M20" s="294">
        <v>7.8890000000000002</v>
      </c>
      <c r="N20" s="336">
        <v>7.944</v>
      </c>
      <c r="O20" s="336">
        <v>7.8819999999999997</v>
      </c>
      <c r="P20" s="336">
        <v>8.0760000000000005</v>
      </c>
      <c r="Q20" s="336">
        <v>7.8840000000000003</v>
      </c>
      <c r="R20" s="336">
        <v>8.2739999999999991</v>
      </c>
      <c r="S20" s="336">
        <v>7.8890000000000002</v>
      </c>
      <c r="T20" s="336">
        <v>8.1</v>
      </c>
      <c r="U20" s="336">
        <v>8</v>
      </c>
      <c r="V20" s="336">
        <v>8.0470000000000006</v>
      </c>
      <c r="W20" s="336">
        <v>8.125</v>
      </c>
      <c r="X20" s="336">
        <v>8.1110000000000007</v>
      </c>
      <c r="Y20" s="294">
        <v>8.2919999999999998</v>
      </c>
      <c r="Z20" s="336">
        <v>8.0850000000000009</v>
      </c>
      <c r="AA20" s="336">
        <v>8.1639999999999997</v>
      </c>
      <c r="AB20" s="82" t="s">
        <v>1</v>
      </c>
      <c r="AC20" s="461"/>
    </row>
    <row r="21" spans="1:29" ht="11.7" customHeight="1">
      <c r="A21" s="502">
        <v>9</v>
      </c>
      <c r="B21" s="502"/>
      <c r="C21" s="335" t="s">
        <v>1</v>
      </c>
      <c r="D21" s="336">
        <v>8.4849999999999994</v>
      </c>
      <c r="E21" s="336">
        <v>8.6519999999999992</v>
      </c>
      <c r="F21" s="336">
        <v>8.94</v>
      </c>
      <c r="G21" s="336">
        <v>8.66</v>
      </c>
      <c r="H21" s="336">
        <v>8.8870000000000005</v>
      </c>
      <c r="I21" s="336">
        <v>8.9039999999999999</v>
      </c>
      <c r="J21" s="336">
        <v>9.0850000000000009</v>
      </c>
      <c r="K21" s="336">
        <v>8.9740000000000002</v>
      </c>
      <c r="L21" s="336">
        <v>8.7720000000000002</v>
      </c>
      <c r="M21" s="294">
        <v>8.7989999999999995</v>
      </c>
      <c r="N21" s="336">
        <v>8.8000000000000007</v>
      </c>
      <c r="O21" s="336">
        <v>8.7579999999999991</v>
      </c>
      <c r="P21" s="336">
        <v>8.9410000000000007</v>
      </c>
      <c r="Q21" s="336">
        <v>8.7550000000000008</v>
      </c>
      <c r="R21" s="336">
        <v>9.1549999999999994</v>
      </c>
      <c r="S21" s="336">
        <v>8.7989999999999995</v>
      </c>
      <c r="T21" s="336">
        <v>9</v>
      </c>
      <c r="U21" s="336">
        <v>8.923</v>
      </c>
      <c r="V21" s="336">
        <v>8.9410000000000007</v>
      </c>
      <c r="W21" s="336">
        <v>8.9610000000000003</v>
      </c>
      <c r="X21" s="336">
        <v>9.125</v>
      </c>
      <c r="Y21" s="294">
        <v>9.2439999999999998</v>
      </c>
      <c r="Z21" s="336">
        <v>9.44</v>
      </c>
      <c r="AA21" s="336">
        <v>8.9489999999999998</v>
      </c>
      <c r="AB21" s="336">
        <v>9.2949999999999999</v>
      </c>
      <c r="AC21" s="462" t="s">
        <v>71</v>
      </c>
    </row>
    <row r="22" spans="1:29" ht="11.7" customHeight="1">
      <c r="A22" s="500">
        <v>10</v>
      </c>
      <c r="B22" s="500"/>
      <c r="C22" s="335" t="s">
        <v>1</v>
      </c>
      <c r="D22" s="336">
        <v>9.7219999999999995</v>
      </c>
      <c r="E22" s="336">
        <v>10.002000000000001</v>
      </c>
      <c r="F22" s="336">
        <v>9.7780000000000005</v>
      </c>
      <c r="G22" s="336">
        <v>9.66</v>
      </c>
      <c r="H22" s="336">
        <v>9.8330000000000002</v>
      </c>
      <c r="I22" s="336">
        <v>9.9320000000000004</v>
      </c>
      <c r="J22" s="336">
        <v>10.053000000000001</v>
      </c>
      <c r="K22" s="336">
        <v>10.045999999999999</v>
      </c>
      <c r="L22" s="336">
        <v>9.718</v>
      </c>
      <c r="M22" s="294">
        <v>9.8610000000000007</v>
      </c>
      <c r="N22" s="336">
        <v>9.7780000000000005</v>
      </c>
      <c r="O22" s="336">
        <v>9.7739999999999991</v>
      </c>
      <c r="P22" s="336">
        <v>9.9350000000000005</v>
      </c>
      <c r="Q22" s="336">
        <v>9.7650000000000006</v>
      </c>
      <c r="R22" s="336">
        <v>10.167</v>
      </c>
      <c r="S22" s="336">
        <v>9.7880000000000003</v>
      </c>
      <c r="T22" s="336">
        <v>10.038</v>
      </c>
      <c r="U22" s="336">
        <v>9.9260000000000002</v>
      </c>
      <c r="V22" s="336">
        <v>9.9730000000000008</v>
      </c>
      <c r="W22" s="336">
        <v>9.9670000000000005</v>
      </c>
      <c r="X22" s="336">
        <v>10.064</v>
      </c>
      <c r="Y22" s="294">
        <v>10.362</v>
      </c>
      <c r="Z22" s="336">
        <v>10.523999999999999</v>
      </c>
      <c r="AA22" s="336">
        <v>10.146000000000001</v>
      </c>
      <c r="AB22" s="336">
        <v>10.188000000000001</v>
      </c>
      <c r="AC22" s="463"/>
    </row>
    <row r="23" spans="1:29" ht="12" customHeight="1">
      <c r="A23" s="502">
        <v>11.2</v>
      </c>
      <c r="B23" s="502"/>
      <c r="C23" s="335" t="s">
        <v>1</v>
      </c>
      <c r="D23" s="336">
        <v>10.694000000000001</v>
      </c>
      <c r="E23" s="336">
        <v>11.074999999999999</v>
      </c>
      <c r="F23" s="336">
        <v>10.724</v>
      </c>
      <c r="G23" s="336">
        <v>10.648</v>
      </c>
      <c r="H23" s="336">
        <v>10.92</v>
      </c>
      <c r="I23" s="336">
        <v>11.138</v>
      </c>
      <c r="J23" s="336">
        <v>11.163</v>
      </c>
      <c r="K23" s="336">
        <v>10.888999999999999</v>
      </c>
      <c r="L23" s="336">
        <v>11.41</v>
      </c>
      <c r="M23" s="294">
        <v>10.811</v>
      </c>
      <c r="N23" s="336">
        <v>10.906000000000001</v>
      </c>
      <c r="O23" s="336">
        <v>10.967000000000001</v>
      </c>
      <c r="P23" s="336">
        <v>11.087</v>
      </c>
      <c r="Q23" s="336">
        <v>10.951000000000001</v>
      </c>
      <c r="R23" s="336">
        <v>11.34</v>
      </c>
      <c r="S23" s="336">
        <v>10.887</v>
      </c>
      <c r="T23" s="336">
        <v>11.167</v>
      </c>
      <c r="U23" s="336">
        <v>11.04</v>
      </c>
      <c r="V23" s="336">
        <v>11.093999999999999</v>
      </c>
      <c r="W23" s="336">
        <v>11.147</v>
      </c>
      <c r="X23" s="336">
        <v>11.193</v>
      </c>
      <c r="Y23" s="294">
        <v>11.693</v>
      </c>
      <c r="Z23" s="336">
        <v>11.797000000000001</v>
      </c>
      <c r="AA23" s="336">
        <v>11.593999999999999</v>
      </c>
      <c r="AB23" s="336">
        <v>11.55</v>
      </c>
      <c r="AC23" s="463"/>
    </row>
    <row r="24" spans="1:29" ht="11.7" customHeight="1">
      <c r="A24" s="502">
        <v>12.5</v>
      </c>
      <c r="B24" s="502"/>
      <c r="C24" s="335" t="s">
        <v>1</v>
      </c>
      <c r="D24" s="336">
        <v>12.444000000000001</v>
      </c>
      <c r="E24" s="336">
        <v>12.326000000000001</v>
      </c>
      <c r="F24" s="336">
        <v>12.397</v>
      </c>
      <c r="G24" s="336">
        <v>11.807</v>
      </c>
      <c r="H24" s="336">
        <v>12.18</v>
      </c>
      <c r="I24" s="336">
        <v>12.574</v>
      </c>
      <c r="J24" s="336">
        <v>12.452</v>
      </c>
      <c r="K24" s="336">
        <v>12.173999999999999</v>
      </c>
      <c r="L24" s="336">
        <v>12.773</v>
      </c>
      <c r="M24" s="294">
        <v>12.654999999999999</v>
      </c>
      <c r="N24" s="336">
        <v>12.222</v>
      </c>
      <c r="O24" s="336">
        <v>12.138999999999999</v>
      </c>
      <c r="P24" s="336">
        <v>12.44</v>
      </c>
      <c r="Q24" s="336">
        <v>12.432</v>
      </c>
      <c r="R24" s="336">
        <v>12.717000000000001</v>
      </c>
      <c r="S24" s="336">
        <v>12.176</v>
      </c>
      <c r="T24" s="336">
        <v>12.42</v>
      </c>
      <c r="U24" s="336">
        <v>12.348000000000001</v>
      </c>
      <c r="V24" s="336">
        <v>12.339</v>
      </c>
      <c r="W24" s="336">
        <v>12.553000000000001</v>
      </c>
      <c r="X24" s="336">
        <v>12.519</v>
      </c>
      <c r="Y24" s="294">
        <v>12.458</v>
      </c>
      <c r="Z24" s="336">
        <v>13.311999999999999</v>
      </c>
      <c r="AA24" s="336">
        <v>12.734</v>
      </c>
      <c r="AB24" s="336">
        <v>13.199</v>
      </c>
      <c r="AC24" s="463"/>
    </row>
    <row r="25" spans="1:29" ht="11.7" customHeight="1">
      <c r="A25" s="500">
        <v>14</v>
      </c>
      <c r="B25" s="500"/>
      <c r="C25" s="335" t="s">
        <v>1</v>
      </c>
      <c r="D25" s="336">
        <v>13.865</v>
      </c>
      <c r="E25" s="336">
        <v>13.805999999999999</v>
      </c>
      <c r="F25" s="336">
        <v>13.726000000000001</v>
      </c>
      <c r="G25" s="336">
        <v>13.939</v>
      </c>
      <c r="H25" s="336">
        <v>13.426</v>
      </c>
      <c r="I25" s="336">
        <v>14.151999999999999</v>
      </c>
      <c r="J25" s="336">
        <v>13.964</v>
      </c>
      <c r="K25" s="336">
        <v>13.704000000000001</v>
      </c>
      <c r="L25" s="336">
        <v>13.843999999999999</v>
      </c>
      <c r="M25" s="294">
        <v>14.164</v>
      </c>
      <c r="N25" s="336">
        <v>13.398999999999999</v>
      </c>
      <c r="O25" s="336">
        <v>13.708</v>
      </c>
      <c r="P25" s="336">
        <v>13.769</v>
      </c>
      <c r="Q25" s="336">
        <v>13.914999999999999</v>
      </c>
      <c r="R25" s="336">
        <v>14.438000000000001</v>
      </c>
      <c r="S25" s="336">
        <v>13.712</v>
      </c>
      <c r="T25" s="336">
        <v>13.891</v>
      </c>
      <c r="U25" s="336">
        <v>13.904999999999999</v>
      </c>
      <c r="V25" s="336">
        <v>13.801</v>
      </c>
      <c r="W25" s="336">
        <v>14.254</v>
      </c>
      <c r="X25" s="336">
        <v>14.098000000000001</v>
      </c>
      <c r="Y25" s="294">
        <v>14.244</v>
      </c>
      <c r="Z25" s="336">
        <v>14.183</v>
      </c>
      <c r="AA25" s="336">
        <v>14.657</v>
      </c>
      <c r="AB25" s="336">
        <v>14.497</v>
      </c>
      <c r="AC25" s="463"/>
    </row>
    <row r="26" spans="1:29" ht="12" customHeight="1">
      <c r="A26" s="500">
        <v>16</v>
      </c>
      <c r="B26" s="500"/>
      <c r="C26" s="335" t="s">
        <v>1</v>
      </c>
      <c r="D26" s="336">
        <v>15.555999999999999</v>
      </c>
      <c r="E26" s="336">
        <v>15.581</v>
      </c>
      <c r="F26" s="336">
        <v>15.278</v>
      </c>
      <c r="G26" s="336">
        <v>15.717000000000001</v>
      </c>
      <c r="H26" s="336">
        <v>14.887</v>
      </c>
      <c r="I26" s="336">
        <v>15.962</v>
      </c>
      <c r="J26" s="336">
        <v>15.765000000000001</v>
      </c>
      <c r="K26" s="336">
        <v>15.555999999999999</v>
      </c>
      <c r="L26" s="336">
        <v>15.478</v>
      </c>
      <c r="M26" s="294">
        <v>15.975</v>
      </c>
      <c r="N26" s="336">
        <v>15.685</v>
      </c>
      <c r="O26" s="336">
        <v>15.388999999999999</v>
      </c>
      <c r="P26" s="336">
        <v>15.55</v>
      </c>
      <c r="Q26" s="336">
        <v>15.694000000000001</v>
      </c>
      <c r="R26" s="336">
        <v>16.158999999999999</v>
      </c>
      <c r="S26" s="336">
        <v>15.57</v>
      </c>
      <c r="T26" s="336">
        <v>15.643000000000001</v>
      </c>
      <c r="U26" s="336">
        <v>15.789</v>
      </c>
      <c r="V26" s="336">
        <v>15.541</v>
      </c>
      <c r="W26" s="336">
        <v>16.344999999999999</v>
      </c>
      <c r="X26" s="336">
        <v>16.009</v>
      </c>
      <c r="Y26" s="294">
        <v>15.888999999999999</v>
      </c>
      <c r="Z26" s="336">
        <v>16.216000000000001</v>
      </c>
      <c r="AA26" s="336">
        <v>16.651</v>
      </c>
      <c r="AB26" s="336">
        <v>16.686</v>
      </c>
      <c r="AC26" s="463"/>
    </row>
    <row r="27" spans="1:29" ht="11.7" customHeight="1">
      <c r="A27" s="500">
        <v>18</v>
      </c>
      <c r="B27" s="500"/>
      <c r="C27" s="335" t="s">
        <v>1</v>
      </c>
      <c r="D27" s="336">
        <v>17.602</v>
      </c>
      <c r="E27" s="336">
        <v>17.492999999999999</v>
      </c>
      <c r="F27" s="336">
        <v>17.111000000000001</v>
      </c>
      <c r="G27" s="336">
        <v>17.597999999999999</v>
      </c>
      <c r="H27" s="336">
        <v>17.576000000000001</v>
      </c>
      <c r="I27" s="336">
        <v>18.204000000000001</v>
      </c>
      <c r="J27" s="336">
        <v>17.742999999999999</v>
      </c>
      <c r="K27" s="336">
        <v>17.111000000000001</v>
      </c>
      <c r="L27" s="336">
        <v>17.422999999999998</v>
      </c>
      <c r="M27" s="294">
        <v>17.28</v>
      </c>
      <c r="N27" s="336">
        <v>17.556000000000001</v>
      </c>
      <c r="O27" s="336">
        <v>17.423999999999999</v>
      </c>
      <c r="P27" s="336">
        <v>17.457000000000001</v>
      </c>
      <c r="Q27" s="336">
        <v>17.899000000000001</v>
      </c>
      <c r="R27" s="336">
        <v>18.225000000000001</v>
      </c>
      <c r="S27" s="336">
        <v>18.061</v>
      </c>
      <c r="T27" s="336">
        <v>17.763000000000002</v>
      </c>
      <c r="U27" s="336">
        <v>18.315999999999999</v>
      </c>
      <c r="V27" s="336">
        <v>17.646999999999998</v>
      </c>
      <c r="W27" s="336">
        <v>17.693999999999999</v>
      </c>
      <c r="X27" s="336">
        <v>18.356999999999999</v>
      </c>
      <c r="Y27" s="294">
        <v>17.875</v>
      </c>
      <c r="Z27" s="336">
        <v>18.088999999999999</v>
      </c>
      <c r="AA27" s="336">
        <v>17.843</v>
      </c>
      <c r="AB27" s="336">
        <v>18.957000000000001</v>
      </c>
      <c r="AC27" s="463"/>
    </row>
    <row r="28" spans="1:29" ht="11.7" customHeight="1">
      <c r="A28" s="500">
        <v>20</v>
      </c>
      <c r="B28" s="500"/>
      <c r="C28" s="335" t="s">
        <v>1</v>
      </c>
      <c r="D28" s="336">
        <v>19.443999999999999</v>
      </c>
      <c r="E28" s="336">
        <v>19.533999999999999</v>
      </c>
      <c r="F28" s="336">
        <v>19.311</v>
      </c>
      <c r="G28" s="336">
        <v>19.742000000000001</v>
      </c>
      <c r="H28" s="336">
        <v>19.817</v>
      </c>
      <c r="I28" s="336">
        <v>19.312000000000001</v>
      </c>
      <c r="J28" s="336">
        <v>20.012</v>
      </c>
      <c r="K28" s="336">
        <v>19.074000000000002</v>
      </c>
      <c r="L28" s="336">
        <v>19.777999999999999</v>
      </c>
      <c r="M28" s="294">
        <v>19.515000000000001</v>
      </c>
      <c r="N28" s="336">
        <v>19.8</v>
      </c>
      <c r="O28" s="336">
        <v>20.297000000000001</v>
      </c>
      <c r="P28" s="336">
        <v>19.765000000000001</v>
      </c>
      <c r="Q28" s="336">
        <v>18.988</v>
      </c>
      <c r="R28" s="336">
        <v>20.786000000000001</v>
      </c>
      <c r="S28" s="336">
        <v>20.117000000000001</v>
      </c>
      <c r="T28" s="336">
        <v>20.605</v>
      </c>
      <c r="U28" s="336">
        <v>20.399999999999999</v>
      </c>
      <c r="V28" s="336">
        <v>20.471</v>
      </c>
      <c r="W28" s="336">
        <v>19.327999999999999</v>
      </c>
      <c r="X28" s="336">
        <v>19.872</v>
      </c>
      <c r="Y28" s="294">
        <v>19.218</v>
      </c>
      <c r="Z28" s="336">
        <v>20.350000000000001</v>
      </c>
      <c r="AA28" s="336">
        <v>19.183</v>
      </c>
      <c r="AB28" s="336">
        <v>20.314</v>
      </c>
      <c r="AC28" s="463"/>
    </row>
    <row r="29" spans="1:29" ht="12" customHeight="1">
      <c r="A29" s="502">
        <v>22.4</v>
      </c>
      <c r="B29" s="502"/>
      <c r="C29" s="335" t="s">
        <v>1</v>
      </c>
      <c r="D29" s="336">
        <v>22.036999999999999</v>
      </c>
      <c r="E29" s="336">
        <v>22.006</v>
      </c>
      <c r="F29" s="336">
        <v>21.681000000000001</v>
      </c>
      <c r="G29" s="336">
        <v>20.981999999999999</v>
      </c>
      <c r="H29" s="336">
        <v>22.189</v>
      </c>
      <c r="I29" s="336">
        <v>21.895</v>
      </c>
      <c r="J29" s="336">
        <v>22.824000000000002</v>
      </c>
      <c r="K29" s="336">
        <v>21.491</v>
      </c>
      <c r="L29" s="336">
        <v>21.756</v>
      </c>
      <c r="M29" s="419">
        <v>22.02</v>
      </c>
      <c r="N29" s="336">
        <v>21.417999999999999</v>
      </c>
      <c r="O29" s="418">
        <v>21.373999999999999</v>
      </c>
      <c r="P29" s="336">
        <v>23.024000000000001</v>
      </c>
      <c r="Q29" s="418">
        <v>20.93</v>
      </c>
      <c r="R29" s="336">
        <v>22.05</v>
      </c>
      <c r="S29" s="418">
        <v>21.782</v>
      </c>
      <c r="T29" s="336">
        <v>22.95</v>
      </c>
      <c r="U29" s="418">
        <v>22.367999999999999</v>
      </c>
      <c r="V29" s="336">
        <v>22.8</v>
      </c>
      <c r="W29" s="418">
        <v>23.324999999999999</v>
      </c>
      <c r="X29" s="336">
        <v>21.777999999999999</v>
      </c>
      <c r="Y29" s="419">
        <v>22.623000000000001</v>
      </c>
      <c r="Z29" s="336">
        <v>22.129000000000001</v>
      </c>
      <c r="AA29" s="418">
        <v>23.817</v>
      </c>
      <c r="AB29" s="336">
        <v>21.798999999999999</v>
      </c>
      <c r="AC29" s="464"/>
    </row>
    <row r="30" spans="1:29" ht="11.7" customHeight="1">
      <c r="A30" s="500">
        <v>25</v>
      </c>
      <c r="B30" s="500"/>
      <c r="C30" s="420" t="s">
        <v>1</v>
      </c>
      <c r="D30" s="421" t="s">
        <v>1</v>
      </c>
      <c r="E30" s="418">
        <v>25.010999999999999</v>
      </c>
      <c r="F30" s="336">
        <v>24.212</v>
      </c>
      <c r="G30" s="418">
        <v>25.54</v>
      </c>
      <c r="H30" s="336">
        <v>24.891999999999999</v>
      </c>
      <c r="I30" s="418">
        <v>25.439</v>
      </c>
      <c r="J30" s="336">
        <v>24.212</v>
      </c>
      <c r="K30" s="418">
        <v>24.706</v>
      </c>
      <c r="L30" s="336">
        <v>24.251000000000001</v>
      </c>
      <c r="M30" s="419">
        <v>25.372</v>
      </c>
      <c r="N30" s="336">
        <v>24.187000000000001</v>
      </c>
      <c r="O30" s="418">
        <v>24.716000000000001</v>
      </c>
      <c r="P30" s="418">
        <v>24.245000000000001</v>
      </c>
      <c r="Q30" s="418">
        <v>24.202000000000002</v>
      </c>
      <c r="R30" s="418">
        <v>24.306000000000001</v>
      </c>
      <c r="S30" s="418">
        <v>25.283000000000001</v>
      </c>
      <c r="T30" s="418">
        <v>24.85</v>
      </c>
      <c r="U30" s="418">
        <v>25.837</v>
      </c>
      <c r="V30" s="418">
        <v>25</v>
      </c>
      <c r="W30" s="418">
        <v>25.75</v>
      </c>
      <c r="X30" s="418">
        <v>26.196000000000002</v>
      </c>
      <c r="Y30" s="419">
        <v>26.19</v>
      </c>
      <c r="Z30" s="418">
        <v>25.754999999999999</v>
      </c>
      <c r="AA30" s="418">
        <v>26.382000000000001</v>
      </c>
      <c r="AB30" s="418">
        <v>27.114999999999998</v>
      </c>
      <c r="AC30" s="456" t="s">
        <v>72</v>
      </c>
    </row>
    <row r="31" spans="1:29" ht="11.7" customHeight="1">
      <c r="A31" s="500">
        <v>28</v>
      </c>
      <c r="B31" s="500"/>
      <c r="C31" s="420" t="s">
        <v>1</v>
      </c>
      <c r="D31" s="421" t="s">
        <v>1</v>
      </c>
      <c r="E31" s="418">
        <v>28.49</v>
      </c>
      <c r="F31" s="336">
        <v>27.274999999999999</v>
      </c>
      <c r="G31" s="418">
        <v>27.710999999999999</v>
      </c>
      <c r="H31" s="336">
        <v>26.456</v>
      </c>
      <c r="I31" s="418">
        <v>29.187000000000001</v>
      </c>
      <c r="J31" s="336">
        <v>27.451000000000001</v>
      </c>
      <c r="K31" s="418">
        <v>28.602</v>
      </c>
      <c r="L31" s="336">
        <v>27.324999999999999</v>
      </c>
      <c r="M31" s="419">
        <v>29.373000000000001</v>
      </c>
      <c r="N31" s="418">
        <v>27.292000000000002</v>
      </c>
      <c r="O31" s="418">
        <v>27.303999999999998</v>
      </c>
      <c r="P31" s="418">
        <v>28.036000000000001</v>
      </c>
      <c r="Q31" s="418">
        <v>26.736000000000001</v>
      </c>
      <c r="R31" s="418">
        <v>28.106000000000002</v>
      </c>
      <c r="S31" s="418">
        <v>28.006</v>
      </c>
      <c r="T31" s="418">
        <v>28.844000000000001</v>
      </c>
      <c r="U31" s="418">
        <v>28.523</v>
      </c>
      <c r="V31" s="418">
        <v>28.876999999999999</v>
      </c>
      <c r="W31" s="418">
        <v>28.509</v>
      </c>
      <c r="X31" s="418">
        <v>28.919</v>
      </c>
      <c r="Y31" s="419">
        <v>28.978999999999999</v>
      </c>
      <c r="Z31" s="418">
        <v>29.817</v>
      </c>
      <c r="AA31" s="418">
        <v>29.314</v>
      </c>
      <c r="AB31" s="418">
        <v>30.035</v>
      </c>
      <c r="AC31" s="457"/>
    </row>
    <row r="32" spans="1:29" ht="12" customHeight="1">
      <c r="A32" s="502">
        <v>31.5</v>
      </c>
      <c r="B32" s="502"/>
      <c r="C32" s="420" t="s">
        <v>1</v>
      </c>
      <c r="D32" s="421" t="s">
        <v>1</v>
      </c>
      <c r="E32" s="418">
        <v>31.161000000000001</v>
      </c>
      <c r="F32" s="418">
        <v>30.998999999999999</v>
      </c>
      <c r="G32" s="418">
        <v>31.433</v>
      </c>
      <c r="H32" s="418">
        <v>32.201999999999998</v>
      </c>
      <c r="I32" s="418">
        <v>31.923999999999999</v>
      </c>
      <c r="J32" s="418">
        <v>31.893999999999998</v>
      </c>
      <c r="K32" s="418">
        <v>31.648</v>
      </c>
      <c r="L32" s="418">
        <v>31.411999999999999</v>
      </c>
      <c r="M32" s="419">
        <v>32.500999999999998</v>
      </c>
      <c r="N32" s="418">
        <v>31.446999999999999</v>
      </c>
      <c r="O32" s="418">
        <v>30.248000000000001</v>
      </c>
      <c r="P32" s="418">
        <v>30.971</v>
      </c>
      <c r="Q32" s="418">
        <v>29.619</v>
      </c>
      <c r="R32" s="418">
        <v>31.047999999999998</v>
      </c>
      <c r="S32" s="418">
        <v>31.117000000000001</v>
      </c>
      <c r="T32" s="418">
        <v>31.95</v>
      </c>
      <c r="U32" s="418">
        <v>31.579000000000001</v>
      </c>
      <c r="V32" s="418">
        <v>31.879000000000001</v>
      </c>
      <c r="W32" s="418">
        <v>31.675999999999998</v>
      </c>
      <c r="X32" s="418">
        <v>32.018000000000001</v>
      </c>
      <c r="Y32" s="419">
        <v>32.18</v>
      </c>
      <c r="Z32" s="418">
        <v>32.991</v>
      </c>
      <c r="AA32" s="418">
        <v>32.695999999999998</v>
      </c>
      <c r="AB32" s="418">
        <v>33.372999999999998</v>
      </c>
      <c r="AC32" s="457"/>
    </row>
    <row r="33" spans="1:29" ht="11.7" customHeight="1">
      <c r="A33" s="502">
        <v>35.5</v>
      </c>
      <c r="B33" s="502"/>
      <c r="C33" s="420" t="s">
        <v>1</v>
      </c>
      <c r="D33" s="421" t="s">
        <v>1</v>
      </c>
      <c r="E33" s="418">
        <v>34.177</v>
      </c>
      <c r="F33" s="418">
        <v>35.311999999999998</v>
      </c>
      <c r="G33" s="418">
        <v>34.290999999999997</v>
      </c>
      <c r="H33" s="418">
        <v>34.94</v>
      </c>
      <c r="I33" s="418">
        <v>35.012999999999998</v>
      </c>
      <c r="J33" s="418">
        <v>36.593000000000004</v>
      </c>
      <c r="K33" s="418">
        <v>35.143999999999998</v>
      </c>
      <c r="L33" s="418">
        <v>36.366</v>
      </c>
      <c r="M33" s="419">
        <v>36.091999999999999</v>
      </c>
      <c r="N33" s="418">
        <v>36.405999999999999</v>
      </c>
      <c r="O33" s="418">
        <v>35.514000000000003</v>
      </c>
      <c r="P33" s="418">
        <v>34.311</v>
      </c>
      <c r="Q33" s="418">
        <v>34.776000000000003</v>
      </c>
      <c r="R33" s="418">
        <v>34.396999999999998</v>
      </c>
      <c r="S33" s="418">
        <v>34.707999999999998</v>
      </c>
      <c r="T33" s="418">
        <v>35.5</v>
      </c>
      <c r="U33" s="418">
        <v>35.088000000000001</v>
      </c>
      <c r="V33" s="418">
        <v>35.293999999999997</v>
      </c>
      <c r="W33" s="418">
        <v>35.350999999999999</v>
      </c>
      <c r="X33" s="418">
        <v>35.575000000000003</v>
      </c>
      <c r="Y33" s="419">
        <v>35.893999999999998</v>
      </c>
      <c r="Z33" s="418">
        <v>36.636000000000003</v>
      </c>
      <c r="AA33" s="418">
        <v>36.371000000000002</v>
      </c>
      <c r="AB33" s="418">
        <v>37.222999999999999</v>
      </c>
      <c r="AC33" s="457"/>
    </row>
    <row r="34" spans="1:29" ht="11.7" customHeight="1">
      <c r="A34" s="500">
        <v>40</v>
      </c>
      <c r="B34" s="500"/>
      <c r="C34" s="420" t="s">
        <v>1</v>
      </c>
      <c r="D34" s="421" t="s">
        <v>1</v>
      </c>
      <c r="E34" s="418">
        <v>39.508000000000003</v>
      </c>
      <c r="F34" s="418">
        <v>38.622</v>
      </c>
      <c r="G34" s="418">
        <v>39.292000000000002</v>
      </c>
      <c r="H34" s="418">
        <v>39.633000000000003</v>
      </c>
      <c r="I34" s="418">
        <v>40.473999999999997</v>
      </c>
      <c r="J34" s="418">
        <v>40.024000000000001</v>
      </c>
      <c r="K34" s="418">
        <v>39.200000000000003</v>
      </c>
      <c r="L34" s="418">
        <v>40.238</v>
      </c>
      <c r="M34" s="419">
        <v>40.256999999999998</v>
      </c>
      <c r="N34" s="418">
        <v>40.283000000000001</v>
      </c>
      <c r="O34" s="418">
        <v>39.756</v>
      </c>
      <c r="P34" s="418">
        <v>40.283999999999999</v>
      </c>
      <c r="Q34" s="418">
        <v>38.929000000000002</v>
      </c>
      <c r="R34" s="418">
        <v>40.384999999999998</v>
      </c>
      <c r="S34" s="418">
        <v>38.896999999999998</v>
      </c>
      <c r="T34" s="418">
        <v>39.595999999999997</v>
      </c>
      <c r="U34" s="418">
        <v>39.158000000000001</v>
      </c>
      <c r="V34" s="418">
        <v>39.216000000000001</v>
      </c>
      <c r="W34" s="418">
        <v>39.664000000000001</v>
      </c>
      <c r="X34" s="418">
        <v>39.701999999999998</v>
      </c>
      <c r="Y34" s="419">
        <v>40.253999999999998</v>
      </c>
      <c r="Z34" s="418">
        <v>40.863999999999997</v>
      </c>
      <c r="AA34" s="418">
        <v>40.453000000000003</v>
      </c>
      <c r="AB34" s="418">
        <v>41.406999999999996</v>
      </c>
      <c r="AC34" s="457"/>
    </row>
    <row r="35" spans="1:29" ht="12" customHeight="1">
      <c r="A35" s="500">
        <v>45</v>
      </c>
      <c r="B35" s="500"/>
      <c r="C35" s="420" t="s">
        <v>1</v>
      </c>
      <c r="D35" s="421" t="s">
        <v>1</v>
      </c>
      <c r="E35" s="418">
        <v>43.744999999999997</v>
      </c>
      <c r="F35" s="418">
        <v>42.36</v>
      </c>
      <c r="G35" s="418">
        <v>43.220999999999997</v>
      </c>
      <c r="H35" s="418">
        <v>43.235999999999997</v>
      </c>
      <c r="I35" s="418">
        <v>44.816000000000003</v>
      </c>
      <c r="J35" s="418">
        <v>43.896999999999998</v>
      </c>
      <c r="K35" s="418">
        <v>43.21</v>
      </c>
      <c r="L35" s="418">
        <v>44.683</v>
      </c>
      <c r="M35" s="419">
        <v>45.146999999999998</v>
      </c>
      <c r="N35" s="418">
        <v>44.732999999999997</v>
      </c>
      <c r="O35" s="418">
        <v>43.09</v>
      </c>
      <c r="P35" s="418">
        <v>45.095999999999997</v>
      </c>
      <c r="Q35" s="418">
        <v>42.194000000000003</v>
      </c>
      <c r="R35" s="418">
        <v>45.207999999999998</v>
      </c>
      <c r="S35" s="418">
        <v>42.642000000000003</v>
      </c>
      <c r="T35" s="418">
        <v>44.375</v>
      </c>
      <c r="U35" s="418">
        <v>43.936</v>
      </c>
      <c r="V35" s="418">
        <v>43.765000000000001</v>
      </c>
      <c r="W35" s="418">
        <v>43.904000000000003</v>
      </c>
      <c r="X35" s="418">
        <v>44.545999999999999</v>
      </c>
      <c r="Y35" s="419">
        <v>45.698999999999998</v>
      </c>
      <c r="Z35" s="418">
        <v>45.828000000000003</v>
      </c>
      <c r="AA35" s="418">
        <v>45.244999999999997</v>
      </c>
      <c r="AB35" s="418">
        <v>46.054000000000002</v>
      </c>
      <c r="AC35" s="457"/>
    </row>
    <row r="36" spans="1:29" ht="11.7" customHeight="1">
      <c r="A36" s="500">
        <v>50</v>
      </c>
      <c r="B36" s="500"/>
      <c r="C36" s="420" t="s">
        <v>1</v>
      </c>
      <c r="D36" s="421" t="s">
        <v>1</v>
      </c>
      <c r="E36" s="418">
        <v>48.689</v>
      </c>
      <c r="F36" s="418">
        <v>48.966999999999999</v>
      </c>
      <c r="G36" s="418">
        <v>50.292999999999999</v>
      </c>
      <c r="H36" s="418">
        <v>49.542000000000002</v>
      </c>
      <c r="I36" s="418">
        <v>49.881</v>
      </c>
      <c r="J36" s="418">
        <v>50.744</v>
      </c>
      <c r="K36" s="418">
        <v>47.911000000000001</v>
      </c>
      <c r="L36" s="418">
        <v>49.84</v>
      </c>
      <c r="M36" s="419">
        <v>50.968000000000004</v>
      </c>
      <c r="N36" s="418">
        <v>49.896000000000001</v>
      </c>
      <c r="O36" s="418">
        <v>48.174999999999997</v>
      </c>
      <c r="P36" s="418">
        <v>48.878</v>
      </c>
      <c r="Q36" s="418">
        <v>47.173999999999999</v>
      </c>
      <c r="R36" s="418">
        <v>49</v>
      </c>
      <c r="S36" s="418">
        <v>49.917000000000002</v>
      </c>
      <c r="T36" s="418">
        <v>48.648000000000003</v>
      </c>
      <c r="U36" s="418">
        <v>48.631999999999998</v>
      </c>
      <c r="V36" s="418">
        <v>49.104999999999997</v>
      </c>
      <c r="W36" s="418">
        <v>49.58</v>
      </c>
      <c r="X36" s="418">
        <v>49.307000000000002</v>
      </c>
      <c r="Y36" s="419">
        <v>51.148000000000003</v>
      </c>
      <c r="Z36" s="418">
        <v>52.026000000000003</v>
      </c>
      <c r="AA36" s="418">
        <v>50.95</v>
      </c>
      <c r="AB36" s="418">
        <v>51.51</v>
      </c>
      <c r="AC36" s="457"/>
    </row>
    <row r="37" spans="1:29" ht="11.7" customHeight="1">
      <c r="A37" s="500">
        <v>56</v>
      </c>
      <c r="B37" s="500"/>
      <c r="C37" s="420" t="s">
        <v>1</v>
      </c>
      <c r="D37" s="421" t="s">
        <v>1</v>
      </c>
      <c r="E37" s="418">
        <v>54.531999999999996</v>
      </c>
      <c r="F37" s="418">
        <v>54.22</v>
      </c>
      <c r="G37" s="418">
        <v>56.033000000000001</v>
      </c>
      <c r="H37" s="418">
        <v>54.496000000000002</v>
      </c>
      <c r="I37" s="418">
        <v>55.866</v>
      </c>
      <c r="J37" s="418">
        <v>56.186999999999998</v>
      </c>
      <c r="K37" s="418">
        <v>56.566000000000003</v>
      </c>
      <c r="L37" s="418">
        <v>54.938000000000002</v>
      </c>
      <c r="M37" s="419">
        <v>57.365000000000002</v>
      </c>
      <c r="N37" s="418">
        <v>55.957000000000001</v>
      </c>
      <c r="O37" s="418">
        <v>54.228999999999999</v>
      </c>
      <c r="P37" s="418">
        <v>54.646999999999998</v>
      </c>
      <c r="Q37" s="418">
        <v>53.101999999999997</v>
      </c>
      <c r="R37" s="418">
        <v>54.783000000000001</v>
      </c>
      <c r="S37" s="418">
        <v>55.87</v>
      </c>
      <c r="T37" s="418">
        <v>56.948</v>
      </c>
      <c r="U37" s="418">
        <v>54.92</v>
      </c>
      <c r="V37" s="418">
        <v>54.353000000000002</v>
      </c>
      <c r="W37" s="418">
        <v>55.66</v>
      </c>
      <c r="X37" s="418">
        <v>55.683</v>
      </c>
      <c r="Y37" s="419">
        <v>57.688000000000002</v>
      </c>
      <c r="Z37" s="418">
        <v>58.23</v>
      </c>
      <c r="AA37" s="418">
        <v>57.856000000000002</v>
      </c>
      <c r="AB37" s="418">
        <v>58.005000000000003</v>
      </c>
      <c r="AC37" s="457"/>
    </row>
    <row r="38" spans="1:29" ht="12" customHeight="1">
      <c r="A38" s="500">
        <v>63</v>
      </c>
      <c r="B38" s="500"/>
      <c r="C38" s="420" t="s">
        <v>1</v>
      </c>
      <c r="D38" s="421" t="s">
        <v>1</v>
      </c>
      <c r="E38" s="418">
        <v>61.542999999999999</v>
      </c>
      <c r="F38" s="418">
        <v>60.347000000000001</v>
      </c>
      <c r="G38" s="418">
        <v>62.866999999999997</v>
      </c>
      <c r="H38" s="418">
        <v>63.412999999999997</v>
      </c>
      <c r="I38" s="418">
        <v>63.048999999999999</v>
      </c>
      <c r="J38" s="418">
        <v>62.536999999999999</v>
      </c>
      <c r="K38" s="418">
        <v>63.777999999999999</v>
      </c>
      <c r="L38" s="418">
        <v>60.915999999999997</v>
      </c>
      <c r="M38" s="419">
        <v>64.698999999999998</v>
      </c>
      <c r="N38" s="418">
        <v>63.170999999999999</v>
      </c>
      <c r="O38" s="418">
        <v>61.557000000000002</v>
      </c>
      <c r="P38" s="418">
        <v>61.514000000000003</v>
      </c>
      <c r="Q38" s="418">
        <v>60.277999999999999</v>
      </c>
      <c r="R38" s="418">
        <v>61.667000000000002</v>
      </c>
      <c r="S38" s="418">
        <v>63.012999999999998</v>
      </c>
      <c r="T38" s="418">
        <v>63.738999999999997</v>
      </c>
      <c r="U38" s="418">
        <v>61.654000000000003</v>
      </c>
      <c r="V38" s="418">
        <v>61.381</v>
      </c>
      <c r="W38" s="418">
        <v>63.018999999999998</v>
      </c>
      <c r="X38" s="418">
        <v>62.51</v>
      </c>
      <c r="Y38" s="419">
        <v>65.793000000000006</v>
      </c>
      <c r="Z38" s="418">
        <v>65.674999999999997</v>
      </c>
      <c r="AA38" s="418">
        <v>67.113</v>
      </c>
      <c r="AB38" s="418">
        <v>65.867000000000004</v>
      </c>
      <c r="AC38" s="457"/>
    </row>
    <row r="39" spans="1:29" ht="11.7" customHeight="1">
      <c r="A39" s="500">
        <v>71</v>
      </c>
      <c r="B39" s="500"/>
      <c r="C39" s="420" t="s">
        <v>1</v>
      </c>
      <c r="D39" s="421" t="s">
        <v>1</v>
      </c>
      <c r="E39" s="418">
        <v>69.742000000000004</v>
      </c>
      <c r="F39" s="418">
        <v>67.588999999999999</v>
      </c>
      <c r="G39" s="418">
        <v>71.138999999999996</v>
      </c>
      <c r="H39" s="418">
        <v>70.650999999999996</v>
      </c>
      <c r="I39" s="418">
        <v>70.787000000000006</v>
      </c>
      <c r="J39" s="418">
        <v>70.040999999999997</v>
      </c>
      <c r="K39" s="418">
        <v>71.414000000000001</v>
      </c>
      <c r="L39" s="418">
        <v>71.918999999999997</v>
      </c>
      <c r="M39" s="419">
        <v>73.789000000000001</v>
      </c>
      <c r="N39" s="418">
        <v>71.099999999999994</v>
      </c>
      <c r="O39" s="418">
        <v>67.712999999999994</v>
      </c>
      <c r="P39" s="418">
        <v>69.825999999999993</v>
      </c>
      <c r="Q39" s="418">
        <v>66.305999999999997</v>
      </c>
      <c r="R39" s="418">
        <v>70</v>
      </c>
      <c r="S39" s="418">
        <v>68.162000000000006</v>
      </c>
      <c r="T39" s="418">
        <v>71.888000000000005</v>
      </c>
      <c r="U39" s="418">
        <v>69.805999999999997</v>
      </c>
      <c r="V39" s="418">
        <v>68.908000000000001</v>
      </c>
      <c r="W39" s="418">
        <v>73.41</v>
      </c>
      <c r="X39" s="418">
        <v>70.775999999999996</v>
      </c>
      <c r="Y39" s="419">
        <v>69.795000000000002</v>
      </c>
      <c r="Z39" s="418">
        <v>74.903000000000006</v>
      </c>
      <c r="AA39" s="418">
        <v>74.75</v>
      </c>
      <c r="AB39" s="418">
        <v>76.406000000000006</v>
      </c>
      <c r="AC39" s="457"/>
    </row>
    <row r="40" spans="1:29" ht="12" customHeight="1">
      <c r="A40" s="500">
        <v>80</v>
      </c>
      <c r="B40" s="500"/>
      <c r="C40" s="420" t="s">
        <v>1</v>
      </c>
      <c r="D40" s="421" t="s">
        <v>1</v>
      </c>
      <c r="E40" s="418">
        <v>78.722999999999999</v>
      </c>
      <c r="F40" s="418">
        <v>76.278999999999996</v>
      </c>
      <c r="G40" s="418">
        <v>78.582999999999998</v>
      </c>
      <c r="H40" s="418">
        <v>79.266999999999996</v>
      </c>
      <c r="I40" s="418">
        <v>79.049000000000007</v>
      </c>
      <c r="J40" s="418">
        <v>79.046000000000006</v>
      </c>
      <c r="K40" s="418">
        <v>80.111000000000004</v>
      </c>
      <c r="L40" s="418">
        <v>81.088999999999999</v>
      </c>
      <c r="M40" s="419">
        <v>78.278000000000006</v>
      </c>
      <c r="N40" s="418">
        <v>80.19</v>
      </c>
      <c r="O40" s="418">
        <v>75.480999999999995</v>
      </c>
      <c r="P40" s="418">
        <v>76.808999999999997</v>
      </c>
      <c r="Q40" s="418">
        <v>73.912000000000006</v>
      </c>
      <c r="R40" s="418">
        <v>77</v>
      </c>
      <c r="S40" s="418">
        <v>76.974000000000004</v>
      </c>
      <c r="T40" s="418">
        <v>77.762</v>
      </c>
      <c r="U40" s="418">
        <v>81.316000000000003</v>
      </c>
      <c r="V40" s="418">
        <v>78.019000000000005</v>
      </c>
      <c r="W40" s="418">
        <v>78.024000000000001</v>
      </c>
      <c r="X40" s="418">
        <v>82.444999999999993</v>
      </c>
      <c r="Y40" s="419">
        <v>79.132000000000005</v>
      </c>
      <c r="Z40" s="418">
        <v>79.459000000000003</v>
      </c>
      <c r="AA40" s="418">
        <v>84.683999999999997</v>
      </c>
      <c r="AB40" s="418">
        <v>85.1</v>
      </c>
      <c r="AC40" s="457"/>
    </row>
    <row r="41" spans="1:29" ht="11.7" customHeight="1">
      <c r="A41" s="500">
        <v>90</v>
      </c>
      <c r="B41" s="500"/>
      <c r="C41" s="420" t="s">
        <v>1</v>
      </c>
      <c r="D41" s="421" t="s">
        <v>1</v>
      </c>
      <c r="E41" s="418">
        <v>86.805999999999997</v>
      </c>
      <c r="F41" s="418">
        <v>86.44</v>
      </c>
      <c r="G41" s="418">
        <v>89.061000000000007</v>
      </c>
      <c r="H41" s="418">
        <v>89.695999999999998</v>
      </c>
      <c r="I41" s="418">
        <v>89.05</v>
      </c>
      <c r="J41" s="418">
        <v>88.748000000000005</v>
      </c>
      <c r="K41" s="418">
        <v>85.146000000000001</v>
      </c>
      <c r="L41" s="418">
        <v>90.798000000000002</v>
      </c>
      <c r="M41" s="419">
        <v>88.75</v>
      </c>
      <c r="N41" s="418">
        <v>91.456999999999994</v>
      </c>
      <c r="O41" s="418">
        <v>85.046000000000006</v>
      </c>
      <c r="P41" s="418">
        <v>85.62</v>
      </c>
      <c r="Q41" s="418">
        <v>83.278999999999996</v>
      </c>
      <c r="R41" s="418">
        <v>85.832999999999998</v>
      </c>
      <c r="S41" s="418">
        <v>88.438999999999993</v>
      </c>
      <c r="T41" s="418">
        <v>87.816000000000003</v>
      </c>
      <c r="U41" s="418">
        <v>86.427000000000007</v>
      </c>
      <c r="V41" s="418">
        <v>90.882000000000005</v>
      </c>
      <c r="W41" s="418">
        <v>85.225999999999999</v>
      </c>
      <c r="X41" s="418">
        <v>87.626999999999995</v>
      </c>
      <c r="Y41" s="419">
        <v>85.075999999999993</v>
      </c>
      <c r="Z41" s="418">
        <v>90.088999999999999</v>
      </c>
      <c r="AA41" s="418">
        <v>91.045000000000002</v>
      </c>
      <c r="AB41" s="418">
        <v>96.41</v>
      </c>
      <c r="AC41" s="457"/>
    </row>
    <row r="42" spans="1:29" ht="11.7" customHeight="1">
      <c r="A42" s="500">
        <v>100</v>
      </c>
      <c r="B42" s="500"/>
      <c r="C42" s="410" t="s">
        <v>1</v>
      </c>
      <c r="D42" s="411" t="s">
        <v>1</v>
      </c>
      <c r="E42" s="411" t="s">
        <v>1</v>
      </c>
      <c r="F42" s="418">
        <v>97.572000000000003</v>
      </c>
      <c r="G42" s="412">
        <v>101.554</v>
      </c>
      <c r="H42" s="418">
        <v>99.082999999999998</v>
      </c>
      <c r="I42" s="412">
        <v>101.21</v>
      </c>
      <c r="J42" s="418">
        <v>99.105999999999995</v>
      </c>
      <c r="K42" s="412">
        <v>103.639</v>
      </c>
      <c r="L42" s="418">
        <v>101.85599999999999</v>
      </c>
      <c r="M42" s="413">
        <v>103.114</v>
      </c>
      <c r="N42" s="418">
        <v>97.02</v>
      </c>
      <c r="O42" s="412">
        <v>97.768000000000001</v>
      </c>
      <c r="P42" s="418">
        <v>96.471000000000004</v>
      </c>
      <c r="Q42" s="412">
        <v>95.734999999999999</v>
      </c>
      <c r="R42" s="418">
        <v>96.710999999999999</v>
      </c>
      <c r="S42" s="412">
        <v>100.07899999999999</v>
      </c>
      <c r="T42" s="418">
        <v>100.895</v>
      </c>
      <c r="U42" s="412">
        <v>99.02</v>
      </c>
      <c r="V42" s="418">
        <v>96.593999999999994</v>
      </c>
      <c r="W42" s="412">
        <v>98.751999999999995</v>
      </c>
      <c r="X42" s="418">
        <v>96.03</v>
      </c>
      <c r="Y42" s="413">
        <v>103.83799999999999</v>
      </c>
      <c r="Z42" s="418">
        <v>97.966999999999999</v>
      </c>
      <c r="AA42" s="412">
        <v>104.514</v>
      </c>
      <c r="AB42" s="418">
        <v>103.46</v>
      </c>
      <c r="AC42" s="461"/>
    </row>
    <row r="43" spans="1:29" ht="12" customHeight="1">
      <c r="A43" s="500">
        <v>112</v>
      </c>
      <c r="B43" s="500"/>
      <c r="C43" s="410" t="s">
        <v>1</v>
      </c>
      <c r="D43" s="411" t="s">
        <v>1</v>
      </c>
      <c r="E43" s="411" t="s">
        <v>1</v>
      </c>
      <c r="F43" s="418">
        <v>107.59</v>
      </c>
      <c r="G43" s="412">
        <v>115.256</v>
      </c>
      <c r="H43" s="418">
        <v>112.294</v>
      </c>
      <c r="I43" s="412">
        <v>115.29</v>
      </c>
      <c r="J43" s="418">
        <v>111.645</v>
      </c>
      <c r="K43" s="412">
        <v>112.45</v>
      </c>
      <c r="L43" s="418">
        <v>108.25700000000001</v>
      </c>
      <c r="M43" s="413">
        <v>118.306</v>
      </c>
      <c r="N43" s="418">
        <v>110</v>
      </c>
      <c r="O43" s="412">
        <v>113.18600000000001</v>
      </c>
      <c r="P43" s="412">
        <v>110.901</v>
      </c>
      <c r="Q43" s="412">
        <v>110.833</v>
      </c>
      <c r="R43" s="412">
        <v>111.176</v>
      </c>
      <c r="S43" s="412">
        <v>115.86199999999999</v>
      </c>
      <c r="T43" s="412">
        <v>114.17400000000001</v>
      </c>
      <c r="U43" s="412">
        <v>109.386</v>
      </c>
      <c r="V43" s="412">
        <v>110.67</v>
      </c>
      <c r="W43" s="412">
        <v>109.401</v>
      </c>
      <c r="X43" s="412">
        <v>110.90600000000001</v>
      </c>
      <c r="Y43" s="413">
        <v>115.375</v>
      </c>
      <c r="Z43" s="412">
        <v>118.215</v>
      </c>
      <c r="AA43" s="412">
        <v>115.712</v>
      </c>
      <c r="AB43" s="412">
        <v>118.985</v>
      </c>
      <c r="AC43" s="462" t="s">
        <v>73</v>
      </c>
    </row>
    <row r="44" spans="1:29" ht="11.7" customHeight="1">
      <c r="A44" s="500">
        <v>125</v>
      </c>
      <c r="B44" s="500"/>
      <c r="C44" s="410" t="s">
        <v>1</v>
      </c>
      <c r="D44" s="411" t="s">
        <v>1</v>
      </c>
      <c r="E44" s="411" t="s">
        <v>1</v>
      </c>
      <c r="F44" s="411" t="s">
        <v>1</v>
      </c>
      <c r="G44" s="412">
        <v>125.733</v>
      </c>
      <c r="H44" s="412">
        <v>128.04599999999999</v>
      </c>
      <c r="I44" s="412">
        <v>126.098</v>
      </c>
      <c r="J44" s="412">
        <v>126.89</v>
      </c>
      <c r="K44" s="412">
        <v>127.556</v>
      </c>
      <c r="L44" s="412">
        <v>131.76900000000001</v>
      </c>
      <c r="M44" s="413">
        <v>129.398</v>
      </c>
      <c r="N44" s="412">
        <v>127.803</v>
      </c>
      <c r="O44" s="412">
        <v>125.238</v>
      </c>
      <c r="P44" s="412">
        <v>128.38999999999999</v>
      </c>
      <c r="Q44" s="412">
        <v>122.634</v>
      </c>
      <c r="R44" s="412">
        <v>128.71</v>
      </c>
      <c r="S44" s="412">
        <v>128.19800000000001</v>
      </c>
      <c r="T44" s="412">
        <v>132.18</v>
      </c>
      <c r="U44" s="412">
        <v>121.182</v>
      </c>
      <c r="V44" s="412">
        <v>122.255</v>
      </c>
      <c r="W44" s="412">
        <v>128.446</v>
      </c>
      <c r="X44" s="412">
        <v>122.86499999999999</v>
      </c>
      <c r="Y44" s="413">
        <v>128.68799999999999</v>
      </c>
      <c r="Z44" s="412">
        <v>131.35</v>
      </c>
      <c r="AA44" s="412">
        <v>128.56899999999999</v>
      </c>
      <c r="AB44" s="412">
        <v>131.73400000000001</v>
      </c>
      <c r="AC44" s="463"/>
    </row>
    <row r="45" spans="1:29" ht="11.7" customHeight="1">
      <c r="A45" s="500">
        <v>140</v>
      </c>
      <c r="B45" s="500"/>
      <c r="C45" s="410" t="s">
        <v>1</v>
      </c>
      <c r="D45" s="411" t="s">
        <v>1</v>
      </c>
      <c r="E45" s="411" t="s">
        <v>1</v>
      </c>
      <c r="F45" s="411" t="s">
        <v>1</v>
      </c>
      <c r="G45" s="412">
        <v>143.98500000000001</v>
      </c>
      <c r="H45" s="412">
        <v>145.322</v>
      </c>
      <c r="I45" s="412">
        <v>138.30099999999999</v>
      </c>
      <c r="J45" s="412">
        <v>144.542</v>
      </c>
      <c r="K45" s="412">
        <v>139.15199999999999</v>
      </c>
      <c r="L45" s="412">
        <v>142.97300000000001</v>
      </c>
      <c r="M45" s="413">
        <v>141.91999999999999</v>
      </c>
      <c r="N45" s="412">
        <v>146.63300000000001</v>
      </c>
      <c r="O45" s="412">
        <v>139.07400000000001</v>
      </c>
      <c r="P45" s="412">
        <v>142.06</v>
      </c>
      <c r="Q45" s="412">
        <v>136.18299999999999</v>
      </c>
      <c r="R45" s="412">
        <v>142.41399999999999</v>
      </c>
      <c r="S45" s="412">
        <v>142.36199999999999</v>
      </c>
      <c r="T45" s="412">
        <v>146.25399999999999</v>
      </c>
      <c r="U45" s="412">
        <v>142.279</v>
      </c>
      <c r="V45" s="412">
        <v>135.43899999999999</v>
      </c>
      <c r="W45" s="412">
        <v>143.78800000000001</v>
      </c>
      <c r="X45" s="412">
        <v>144.255</v>
      </c>
      <c r="Y45" s="413">
        <v>144.21899999999999</v>
      </c>
      <c r="Z45" s="412">
        <v>146.506</v>
      </c>
      <c r="AA45" s="412">
        <v>143.483</v>
      </c>
      <c r="AB45" s="412">
        <v>146.37100000000001</v>
      </c>
      <c r="AC45" s="463"/>
    </row>
    <row r="46" spans="1:29" ht="12" customHeight="1">
      <c r="A46" s="500">
        <v>160</v>
      </c>
      <c r="B46" s="500"/>
      <c r="C46" s="410" t="s">
        <v>1</v>
      </c>
      <c r="D46" s="411" t="s">
        <v>1</v>
      </c>
      <c r="E46" s="411" t="s">
        <v>1</v>
      </c>
      <c r="F46" s="411" t="s">
        <v>1</v>
      </c>
      <c r="G46" s="412">
        <v>158.251</v>
      </c>
      <c r="H46" s="412">
        <v>158.53299999999999</v>
      </c>
      <c r="I46" s="412">
        <v>159.874</v>
      </c>
      <c r="J46" s="412">
        <v>158.09299999999999</v>
      </c>
      <c r="K46" s="412">
        <v>159.44399999999999</v>
      </c>
      <c r="L46" s="412">
        <v>162.178</v>
      </c>
      <c r="M46" s="413">
        <v>164.05799999999999</v>
      </c>
      <c r="N46" s="412">
        <v>160.38</v>
      </c>
      <c r="O46" s="412">
        <v>155.125</v>
      </c>
      <c r="P46" s="412">
        <v>157.756</v>
      </c>
      <c r="Q46" s="414">
        <v>151.9</v>
      </c>
      <c r="R46" s="412">
        <v>158.14699999999999</v>
      </c>
      <c r="S46" s="412">
        <v>158.792</v>
      </c>
      <c r="T46" s="412">
        <v>162.41300000000001</v>
      </c>
      <c r="U46" s="412">
        <v>159.273</v>
      </c>
      <c r="V46" s="412">
        <v>159.017</v>
      </c>
      <c r="W46" s="412">
        <v>155.84800000000001</v>
      </c>
      <c r="X46" s="412">
        <v>161.48500000000001</v>
      </c>
      <c r="Y46" s="413">
        <v>158.107</v>
      </c>
      <c r="Z46" s="412">
        <v>179.99799999999999</v>
      </c>
      <c r="AA46" s="412">
        <v>160.99100000000001</v>
      </c>
      <c r="AB46" s="412">
        <v>163.35</v>
      </c>
      <c r="AC46" s="463"/>
    </row>
    <row r="47" spans="1:29" ht="11.7" customHeight="1">
      <c r="A47" s="500">
        <v>180</v>
      </c>
      <c r="B47" s="500"/>
      <c r="C47" s="410" t="s">
        <v>1</v>
      </c>
      <c r="D47" s="411" t="s">
        <v>1</v>
      </c>
      <c r="E47" s="411" t="s">
        <v>1</v>
      </c>
      <c r="F47" s="411" t="s">
        <v>1</v>
      </c>
      <c r="G47" s="412">
        <v>174.63</v>
      </c>
      <c r="H47" s="412">
        <v>181.85599999999999</v>
      </c>
      <c r="I47" s="412">
        <v>177.02199999999999</v>
      </c>
      <c r="J47" s="412">
        <v>173.392</v>
      </c>
      <c r="K47" s="412">
        <v>175.38900000000001</v>
      </c>
      <c r="L47" s="412">
        <v>176.92099999999999</v>
      </c>
      <c r="M47" s="413">
        <v>181.654</v>
      </c>
      <c r="N47" s="412">
        <v>175.90100000000001</v>
      </c>
      <c r="O47" s="412">
        <v>170.99299999999999</v>
      </c>
      <c r="P47" s="412">
        <v>175.96199999999999</v>
      </c>
      <c r="Q47" s="412">
        <v>167.43799999999999</v>
      </c>
      <c r="R47" s="412">
        <v>176.4</v>
      </c>
      <c r="S47" s="412">
        <v>178.07900000000001</v>
      </c>
      <c r="T47" s="412">
        <v>181.15600000000001</v>
      </c>
      <c r="U47" s="412">
        <v>172.63200000000001</v>
      </c>
      <c r="V47" s="412">
        <v>178.011</v>
      </c>
      <c r="W47" s="412">
        <v>174.24</v>
      </c>
      <c r="X47" s="412">
        <v>175.029</v>
      </c>
      <c r="Y47" s="413">
        <v>185.08099999999999</v>
      </c>
      <c r="Z47" s="412">
        <v>179.99799999999999</v>
      </c>
      <c r="AA47" s="412">
        <v>178.197</v>
      </c>
      <c r="AB47" s="412">
        <v>183.28200000000001</v>
      </c>
      <c r="AC47" s="463"/>
    </row>
    <row r="48" spans="1:29" ht="11.7" customHeight="1">
      <c r="A48" s="500">
        <v>200</v>
      </c>
      <c r="B48" s="500"/>
      <c r="C48" s="410" t="s">
        <v>1</v>
      </c>
      <c r="D48" s="411" t="s">
        <v>1</v>
      </c>
      <c r="E48" s="411" t="s">
        <v>1</v>
      </c>
      <c r="F48" s="411" t="s">
        <v>1</v>
      </c>
      <c r="G48" s="412">
        <v>193.62899999999999</v>
      </c>
      <c r="H48" s="412">
        <v>199.53299999999999</v>
      </c>
      <c r="I48" s="412">
        <v>197.02799999999999</v>
      </c>
      <c r="J48" s="412">
        <v>200.43899999999999</v>
      </c>
      <c r="K48" s="412">
        <v>204.089</v>
      </c>
      <c r="L48" s="412">
        <v>202.72200000000001</v>
      </c>
      <c r="M48" s="413">
        <v>202.184</v>
      </c>
      <c r="N48" s="412">
        <v>203.339</v>
      </c>
      <c r="O48" s="412">
        <v>189.59700000000001</v>
      </c>
      <c r="P48" s="412">
        <v>193.96199999999999</v>
      </c>
      <c r="Q48" s="412">
        <v>185.65600000000001</v>
      </c>
      <c r="R48" s="412">
        <v>194.44399999999999</v>
      </c>
      <c r="S48" s="412">
        <v>201.04</v>
      </c>
      <c r="T48" s="412">
        <v>203.16</v>
      </c>
      <c r="U48" s="412">
        <v>193.00399999999999</v>
      </c>
      <c r="V48" s="412">
        <v>192.941</v>
      </c>
      <c r="W48" s="412">
        <v>196.13499999999999</v>
      </c>
      <c r="X48" s="412">
        <v>195.685</v>
      </c>
      <c r="Y48" s="413">
        <v>207.15100000000001</v>
      </c>
      <c r="Z48" s="412">
        <v>210.70699999999999</v>
      </c>
      <c r="AA48" s="412">
        <v>201.238</v>
      </c>
      <c r="AB48" s="412">
        <v>202.87</v>
      </c>
      <c r="AC48" s="463"/>
    </row>
    <row r="49" spans="1:29" ht="12" customHeight="1">
      <c r="A49" s="500">
        <v>224</v>
      </c>
      <c r="B49" s="500"/>
      <c r="C49" s="410" t="s">
        <v>1</v>
      </c>
      <c r="D49" s="411" t="s">
        <v>1</v>
      </c>
      <c r="E49" s="411" t="s">
        <v>1</v>
      </c>
      <c r="F49" s="411" t="s">
        <v>1</v>
      </c>
      <c r="G49" s="412">
        <v>228.60599999999999</v>
      </c>
      <c r="H49" s="412">
        <v>220.185</v>
      </c>
      <c r="I49" s="412">
        <v>220.67099999999999</v>
      </c>
      <c r="J49" s="412">
        <v>221.93799999999999</v>
      </c>
      <c r="K49" s="412">
        <v>227.38200000000001</v>
      </c>
      <c r="L49" s="412">
        <v>222.994</v>
      </c>
      <c r="M49" s="413">
        <v>226.446</v>
      </c>
      <c r="N49" s="412">
        <v>225.149</v>
      </c>
      <c r="O49" s="412">
        <v>223.845</v>
      </c>
      <c r="P49" s="412">
        <v>215.065</v>
      </c>
      <c r="Q49" s="412">
        <v>219.19200000000001</v>
      </c>
      <c r="R49" s="412">
        <v>215.6</v>
      </c>
      <c r="S49" s="412">
        <v>226.27199999999999</v>
      </c>
      <c r="T49" s="412">
        <v>229.35499999999999</v>
      </c>
      <c r="U49" s="412">
        <v>217.25700000000001</v>
      </c>
      <c r="V49" s="412">
        <v>215.71100000000001</v>
      </c>
      <c r="W49" s="412">
        <v>222.64</v>
      </c>
      <c r="X49" s="412">
        <v>220.27500000000001</v>
      </c>
      <c r="Y49" s="413">
        <v>233.63399999999999</v>
      </c>
      <c r="Z49" s="412">
        <v>235.833</v>
      </c>
      <c r="AA49" s="412">
        <v>225.91399999999999</v>
      </c>
      <c r="AB49" s="412">
        <v>229.102</v>
      </c>
      <c r="AC49" s="463"/>
    </row>
    <row r="50" spans="1:29" ht="11.7" customHeight="1">
      <c r="A50" s="500">
        <v>250</v>
      </c>
      <c r="B50" s="500"/>
      <c r="C50" s="410" t="s">
        <v>1</v>
      </c>
      <c r="D50" s="411" t="s">
        <v>1</v>
      </c>
      <c r="E50" s="411" t="s">
        <v>1</v>
      </c>
      <c r="F50" s="411" t="s">
        <v>1</v>
      </c>
      <c r="G50" s="412">
        <v>257.75299999999999</v>
      </c>
      <c r="H50" s="412">
        <v>244.14099999999999</v>
      </c>
      <c r="I50" s="412">
        <v>249.04300000000001</v>
      </c>
      <c r="J50" s="412">
        <v>247.02</v>
      </c>
      <c r="K50" s="412">
        <v>255.11099999999999</v>
      </c>
      <c r="L50" s="412">
        <v>259.48399999999998</v>
      </c>
      <c r="M50" s="413">
        <v>255.56</v>
      </c>
      <c r="N50" s="412">
        <v>250.59399999999999</v>
      </c>
      <c r="O50" s="412">
        <v>252.38499999999999</v>
      </c>
      <c r="P50" s="412">
        <v>253.91399999999999</v>
      </c>
      <c r="Q50" s="412">
        <v>247.13900000000001</v>
      </c>
      <c r="R50" s="412">
        <v>254.54499999999999</v>
      </c>
      <c r="S50" s="412">
        <v>255.20099999999999</v>
      </c>
      <c r="T50" s="412">
        <v>258.14100000000002</v>
      </c>
      <c r="U50" s="412">
        <v>246.61699999999999</v>
      </c>
      <c r="V50" s="412">
        <v>242.81700000000001</v>
      </c>
      <c r="W50" s="412">
        <v>244.904</v>
      </c>
      <c r="X50" s="412">
        <v>250.042</v>
      </c>
      <c r="Y50" s="413">
        <v>252.726</v>
      </c>
      <c r="Z50" s="412">
        <v>265.98399999999998</v>
      </c>
      <c r="AA50" s="412">
        <v>255.785</v>
      </c>
      <c r="AB50" s="412">
        <v>257.19499999999999</v>
      </c>
      <c r="AC50" s="463"/>
    </row>
    <row r="51" spans="1:29" ht="11.7" customHeight="1">
      <c r="A51" s="500">
        <v>280</v>
      </c>
      <c r="B51" s="500"/>
      <c r="C51" s="410" t="s">
        <v>1</v>
      </c>
      <c r="D51" s="411" t="s">
        <v>1</v>
      </c>
      <c r="E51" s="411" t="s">
        <v>1</v>
      </c>
      <c r="F51" s="411" t="s">
        <v>1</v>
      </c>
      <c r="G51" s="412">
        <v>288.61500000000001</v>
      </c>
      <c r="H51" s="412">
        <v>288.24200000000002</v>
      </c>
      <c r="I51" s="412">
        <v>282.21899999999999</v>
      </c>
      <c r="J51" s="412">
        <v>276.66300000000001</v>
      </c>
      <c r="K51" s="412">
        <v>288.678</v>
      </c>
      <c r="L51" s="412">
        <v>289.10000000000002</v>
      </c>
      <c r="M51" s="413">
        <v>286.92500000000001</v>
      </c>
      <c r="N51" s="412">
        <v>280.66500000000002</v>
      </c>
      <c r="O51" s="412">
        <v>282.60500000000002</v>
      </c>
      <c r="P51" s="412">
        <v>286.28800000000001</v>
      </c>
      <c r="Q51" s="412">
        <v>276.73</v>
      </c>
      <c r="R51" s="412">
        <v>287</v>
      </c>
      <c r="S51" s="412">
        <v>291.05799999999999</v>
      </c>
      <c r="T51" s="412">
        <v>291.14400000000001</v>
      </c>
      <c r="U51" s="412">
        <v>271.27800000000002</v>
      </c>
      <c r="V51" s="412">
        <v>275.63</v>
      </c>
      <c r="W51" s="412">
        <v>272.99900000000002</v>
      </c>
      <c r="X51" s="412">
        <v>275.04599999999999</v>
      </c>
      <c r="Y51" s="413">
        <v>285.40100000000001</v>
      </c>
      <c r="Z51" s="412">
        <v>287.71899999999999</v>
      </c>
      <c r="AA51" s="412">
        <v>297.959</v>
      </c>
      <c r="AB51" s="412">
        <v>291.20100000000002</v>
      </c>
      <c r="AC51" s="463"/>
    </row>
    <row r="52" spans="1:29" ht="12" customHeight="1">
      <c r="A52" s="500">
        <v>315</v>
      </c>
      <c r="B52" s="500"/>
      <c r="C52" s="410" t="s">
        <v>1</v>
      </c>
      <c r="D52" s="411" t="s">
        <v>1</v>
      </c>
      <c r="E52" s="411" t="s">
        <v>1</v>
      </c>
      <c r="F52" s="411" t="s">
        <v>1</v>
      </c>
      <c r="G52" s="412">
        <v>305.35199999999998</v>
      </c>
      <c r="H52" s="412">
        <v>324.99299999999999</v>
      </c>
      <c r="I52" s="412">
        <v>318.56299999999999</v>
      </c>
      <c r="J52" s="412">
        <v>312.23399999999998</v>
      </c>
      <c r="K52" s="412">
        <v>318.88900000000001</v>
      </c>
      <c r="L52" s="412">
        <v>324.35599999999999</v>
      </c>
      <c r="M52" s="413">
        <v>320.41300000000001</v>
      </c>
      <c r="N52" s="412">
        <v>316.75099999999998</v>
      </c>
      <c r="O52" s="412">
        <v>317.02100000000002</v>
      </c>
      <c r="P52" s="412">
        <v>320.56599999999997</v>
      </c>
      <c r="Q52" s="412">
        <v>310.43099999999998</v>
      </c>
      <c r="R52" s="412">
        <v>321.36399999999998</v>
      </c>
      <c r="S52" s="412">
        <v>308.76100000000002</v>
      </c>
      <c r="T52" s="412">
        <v>332.05200000000002</v>
      </c>
      <c r="U52" s="412">
        <v>302.399</v>
      </c>
      <c r="V52" s="412">
        <v>303.19299999999998</v>
      </c>
      <c r="W52" s="412">
        <v>307.59500000000003</v>
      </c>
      <c r="X52" s="412">
        <v>306.59899999999999</v>
      </c>
      <c r="Y52" s="413">
        <v>327.90800000000002</v>
      </c>
      <c r="Z52" s="412">
        <v>324.91899999999998</v>
      </c>
      <c r="AA52" s="412">
        <v>316.68599999999998</v>
      </c>
      <c r="AB52" s="412">
        <v>339.214</v>
      </c>
      <c r="AC52" s="463"/>
    </row>
    <row r="53" spans="1:29" ht="11.7" customHeight="1">
      <c r="A53" s="500">
        <v>355</v>
      </c>
      <c r="B53" s="500"/>
      <c r="C53" s="410" t="s">
        <v>1</v>
      </c>
      <c r="D53" s="411" t="s">
        <v>1</v>
      </c>
      <c r="E53" s="411" t="s">
        <v>1</v>
      </c>
      <c r="F53" s="411" t="s">
        <v>1</v>
      </c>
      <c r="G53" s="412">
        <v>344.11200000000002</v>
      </c>
      <c r="H53" s="412">
        <v>363.90600000000001</v>
      </c>
      <c r="I53" s="412">
        <v>351.27300000000002</v>
      </c>
      <c r="J53" s="412">
        <v>353.827</v>
      </c>
      <c r="K53" s="412">
        <v>361.40699999999998</v>
      </c>
      <c r="L53" s="412">
        <v>367.03399999999999</v>
      </c>
      <c r="M53" s="413">
        <v>360.95100000000002</v>
      </c>
      <c r="N53" s="412">
        <v>355.625</v>
      </c>
      <c r="O53" s="412">
        <v>336.94600000000003</v>
      </c>
      <c r="P53" s="412">
        <v>359.60599999999999</v>
      </c>
      <c r="Q53" s="412">
        <v>329.94200000000001</v>
      </c>
      <c r="R53" s="412">
        <v>360.5</v>
      </c>
      <c r="S53" s="412">
        <v>350.06900000000002</v>
      </c>
      <c r="T53" s="412">
        <v>352.24900000000002</v>
      </c>
      <c r="U53" s="412">
        <v>340.72</v>
      </c>
      <c r="V53" s="412">
        <v>337.97500000000002</v>
      </c>
      <c r="W53" s="412">
        <v>335.988</v>
      </c>
      <c r="X53" s="412">
        <v>345.452</v>
      </c>
      <c r="Y53" s="413">
        <v>352.53800000000001</v>
      </c>
      <c r="Z53" s="412">
        <v>373.31099999999998</v>
      </c>
      <c r="AA53" s="412">
        <v>340.47300000000001</v>
      </c>
      <c r="AB53" s="412">
        <v>360.53500000000003</v>
      </c>
      <c r="AC53" s="463"/>
    </row>
    <row r="54" spans="1:29" ht="11.7" customHeight="1">
      <c r="A54" s="500">
        <v>400</v>
      </c>
      <c r="B54" s="500"/>
      <c r="C54" s="410" t="s">
        <v>1</v>
      </c>
      <c r="D54" s="411" t="s">
        <v>1</v>
      </c>
      <c r="E54" s="411" t="s">
        <v>1</v>
      </c>
      <c r="F54" s="411" t="s">
        <v>1</v>
      </c>
      <c r="G54" s="411" t="s">
        <v>1</v>
      </c>
      <c r="H54" s="412">
        <v>385.01</v>
      </c>
      <c r="I54" s="411" t="s">
        <v>1</v>
      </c>
      <c r="J54" s="412">
        <v>399.39299999999997</v>
      </c>
      <c r="K54" s="411" t="s">
        <v>1</v>
      </c>
      <c r="L54" s="412">
        <v>405.44400000000002</v>
      </c>
      <c r="M54" s="410" t="s">
        <v>1</v>
      </c>
      <c r="N54" s="412">
        <v>397.13099999999997</v>
      </c>
      <c r="O54" s="411" t="s">
        <v>1</v>
      </c>
      <c r="P54" s="412">
        <v>382.20699999999999</v>
      </c>
      <c r="Q54" s="411" t="s">
        <v>1</v>
      </c>
      <c r="R54" s="412">
        <v>383.15800000000002</v>
      </c>
      <c r="S54" s="411" t="s">
        <v>1</v>
      </c>
      <c r="T54" s="412">
        <v>399.375</v>
      </c>
      <c r="U54" s="411" t="s">
        <v>1</v>
      </c>
      <c r="V54" s="412">
        <v>380.80500000000001</v>
      </c>
      <c r="W54" s="411" t="s">
        <v>1</v>
      </c>
      <c r="X54" s="412">
        <v>378.57799999999997</v>
      </c>
      <c r="Y54" s="410" t="s">
        <v>1</v>
      </c>
      <c r="Z54" s="412">
        <v>405.95299999999997</v>
      </c>
      <c r="AA54" s="411" t="s">
        <v>1</v>
      </c>
      <c r="AB54" s="412">
        <v>386.90100000000001</v>
      </c>
      <c r="AC54" s="463"/>
    </row>
    <row r="55" spans="1:29" ht="12" customHeight="1">
      <c r="A55" s="503">
        <v>450</v>
      </c>
      <c r="B55" s="503"/>
      <c r="C55" s="415" t="s">
        <v>1</v>
      </c>
      <c r="D55" s="416" t="s">
        <v>1</v>
      </c>
      <c r="E55" s="416" t="s">
        <v>1</v>
      </c>
      <c r="F55" s="416" t="s">
        <v>1</v>
      </c>
      <c r="G55" s="416" t="s">
        <v>1</v>
      </c>
      <c r="H55" s="417">
        <v>433.88099999999997</v>
      </c>
      <c r="I55" s="416" t="s">
        <v>1</v>
      </c>
      <c r="J55" s="417">
        <v>440.40199999999999</v>
      </c>
      <c r="K55" s="416" t="s">
        <v>1</v>
      </c>
      <c r="L55" s="417">
        <v>459.50400000000002</v>
      </c>
      <c r="M55" s="415" t="s">
        <v>1</v>
      </c>
      <c r="N55" s="417">
        <v>447.37599999999998</v>
      </c>
      <c r="O55" s="416" t="s">
        <v>1</v>
      </c>
      <c r="P55" s="416" t="s">
        <v>1</v>
      </c>
      <c r="Q55" s="416" t="s">
        <v>1</v>
      </c>
      <c r="R55" s="416" t="s">
        <v>1</v>
      </c>
      <c r="S55" s="416" t="s">
        <v>1</v>
      </c>
      <c r="T55" s="416" t="s">
        <v>1</v>
      </c>
      <c r="U55" s="416" t="s">
        <v>1</v>
      </c>
      <c r="V55" s="416" t="s">
        <v>1</v>
      </c>
      <c r="W55" s="416" t="s">
        <v>1</v>
      </c>
      <c r="X55" s="416" t="s">
        <v>1</v>
      </c>
      <c r="Y55" s="415" t="s">
        <v>1</v>
      </c>
      <c r="Z55" s="416" t="s">
        <v>1</v>
      </c>
      <c r="AA55" s="416" t="s">
        <v>1</v>
      </c>
      <c r="AB55" s="416" t="s">
        <v>1</v>
      </c>
      <c r="AC55" s="485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  <mergeCell ref="A37:B37"/>
    <mergeCell ref="A38:B38"/>
    <mergeCell ref="A45:B45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0:B30"/>
    <mergeCell ref="A31:B31"/>
    <mergeCell ref="A11:B11"/>
    <mergeCell ref="A12:B12"/>
    <mergeCell ref="A13:B13"/>
    <mergeCell ref="A14:B14"/>
    <mergeCell ref="A23:B2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49" t="s">
        <v>529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</row>
    <row r="2" spans="1:28" ht="12.3" customHeight="1">
      <c r="A2" s="474" t="s">
        <v>14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</row>
    <row r="3" spans="1:28" ht="12" customHeight="1">
      <c r="A3" s="505" t="s">
        <v>530</v>
      </c>
      <c r="B3" s="505"/>
      <c r="C3" s="506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502">
        <v>5</v>
      </c>
      <c r="B4" s="502"/>
      <c r="C4" s="295">
        <v>4.9359999999999999</v>
      </c>
      <c r="D4" s="333">
        <v>5.0060000000000002</v>
      </c>
      <c r="E4" s="82" t="s">
        <v>1</v>
      </c>
      <c r="F4" s="333">
        <v>4.8650000000000002</v>
      </c>
      <c r="G4" s="82" t="s">
        <v>1</v>
      </c>
      <c r="H4" s="333">
        <v>5.0019999999999998</v>
      </c>
      <c r="I4" s="82" t="s">
        <v>1</v>
      </c>
      <c r="J4" s="333">
        <v>4.8970000000000002</v>
      </c>
      <c r="K4" s="82" t="s">
        <v>1</v>
      </c>
      <c r="L4" s="295">
        <v>4.9669999999999996</v>
      </c>
      <c r="M4" s="82" t="s">
        <v>1</v>
      </c>
      <c r="N4" s="333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56" t="s">
        <v>456</v>
      </c>
    </row>
    <row r="5" spans="1:28" ht="12" customHeight="1">
      <c r="A5" s="502">
        <v>5.6</v>
      </c>
      <c r="B5" s="502"/>
      <c r="C5" s="295">
        <v>5.48</v>
      </c>
      <c r="D5" s="333">
        <v>5.4880000000000004</v>
      </c>
      <c r="E5" s="82" t="s">
        <v>1</v>
      </c>
      <c r="F5" s="333">
        <v>5.3330000000000002</v>
      </c>
      <c r="G5" s="82" t="s">
        <v>1</v>
      </c>
      <c r="H5" s="333">
        <v>5.4829999999999997</v>
      </c>
      <c r="I5" s="82" t="s">
        <v>1</v>
      </c>
      <c r="J5" s="333">
        <v>5.5339999999999998</v>
      </c>
      <c r="K5" s="82" t="s">
        <v>1</v>
      </c>
      <c r="L5" s="295">
        <v>5.6130000000000004</v>
      </c>
      <c r="M5" s="82" t="s">
        <v>1</v>
      </c>
      <c r="N5" s="333">
        <v>5.609</v>
      </c>
      <c r="O5" s="333">
        <v>5.63</v>
      </c>
      <c r="P5" s="333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57"/>
    </row>
    <row r="6" spans="1:28" ht="12.3" customHeight="1">
      <c r="A6" s="502">
        <v>6.3</v>
      </c>
      <c r="B6" s="502"/>
      <c r="C6" s="295">
        <v>6.2960000000000003</v>
      </c>
      <c r="D6" s="333">
        <v>6.3860000000000001</v>
      </c>
      <c r="E6" s="333">
        <v>6.2050000000000001</v>
      </c>
      <c r="F6" s="333">
        <v>6.2060000000000004</v>
      </c>
      <c r="G6" s="333">
        <v>6.1349999999999998</v>
      </c>
      <c r="H6" s="333">
        <v>6.3810000000000002</v>
      </c>
      <c r="I6" s="333">
        <v>6.2709999999999999</v>
      </c>
      <c r="J6" s="333">
        <v>6.2960000000000003</v>
      </c>
      <c r="K6" s="333">
        <v>6.226</v>
      </c>
      <c r="L6" s="295">
        <v>6.3860000000000001</v>
      </c>
      <c r="M6" s="333">
        <v>6.1559999999999997</v>
      </c>
      <c r="N6" s="333">
        <v>6.34</v>
      </c>
      <c r="O6" s="333">
        <v>6.3620000000000001</v>
      </c>
      <c r="P6" s="333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57"/>
    </row>
    <row r="7" spans="1:28" ht="12" customHeight="1">
      <c r="A7" s="502">
        <v>7.1</v>
      </c>
      <c r="B7" s="502"/>
      <c r="C7" s="295">
        <v>6.9589999999999996</v>
      </c>
      <c r="D7" s="333">
        <v>7.0579999999999998</v>
      </c>
      <c r="E7" s="333">
        <v>6.8019999999999996</v>
      </c>
      <c r="F7" s="333">
        <v>6.86</v>
      </c>
      <c r="G7" s="333">
        <v>6.7249999999999996</v>
      </c>
      <c r="H7" s="333">
        <v>7.0529999999999999</v>
      </c>
      <c r="I7" s="333">
        <v>6.875</v>
      </c>
      <c r="J7" s="333">
        <v>7.0369999999999999</v>
      </c>
      <c r="K7" s="333">
        <v>7.0359999999999996</v>
      </c>
      <c r="L7" s="295">
        <v>7.1379999999999999</v>
      </c>
      <c r="M7" s="333">
        <v>6.9569999999999999</v>
      </c>
      <c r="N7" s="333">
        <v>7.1319999999999997</v>
      </c>
      <c r="O7" s="333">
        <v>7.1920000000000002</v>
      </c>
      <c r="P7" s="333">
        <v>7.0119999999999996</v>
      </c>
      <c r="Q7" s="333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57"/>
    </row>
    <row r="8" spans="1:28" ht="12.3" customHeight="1">
      <c r="A8" s="502">
        <v>8</v>
      </c>
      <c r="B8" s="502"/>
      <c r="C8" s="295">
        <v>7.5490000000000004</v>
      </c>
      <c r="D8" s="333">
        <v>7.657</v>
      </c>
      <c r="E8" s="333">
        <v>7.915</v>
      </c>
      <c r="F8" s="333">
        <v>7.88</v>
      </c>
      <c r="G8" s="333">
        <v>7.8250000000000002</v>
      </c>
      <c r="H8" s="333">
        <v>8.1010000000000009</v>
      </c>
      <c r="I8" s="333">
        <v>8</v>
      </c>
      <c r="J8" s="333">
        <v>7.9939999999999998</v>
      </c>
      <c r="K8" s="333">
        <v>8.0050000000000008</v>
      </c>
      <c r="L8" s="295">
        <v>8.1080000000000005</v>
      </c>
      <c r="M8" s="333">
        <v>7.915</v>
      </c>
      <c r="N8" s="333">
        <v>8.1010000000000009</v>
      </c>
      <c r="O8" s="333">
        <v>8.09</v>
      </c>
      <c r="P8" s="333">
        <v>7.9649999999999999</v>
      </c>
      <c r="Q8" s="333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57"/>
    </row>
    <row r="9" spans="1:28" ht="12" customHeight="1">
      <c r="A9" s="502">
        <v>9</v>
      </c>
      <c r="B9" s="502"/>
      <c r="C9" s="295">
        <v>8.6929999999999996</v>
      </c>
      <c r="D9" s="333">
        <v>8.8170000000000002</v>
      </c>
      <c r="E9" s="333">
        <v>8.7490000000000006</v>
      </c>
      <c r="F9" s="333">
        <v>8.5690000000000008</v>
      </c>
      <c r="G9" s="333">
        <v>8.6489999999999991</v>
      </c>
      <c r="H9" s="333">
        <v>8.81</v>
      </c>
      <c r="I9" s="333">
        <v>8.8420000000000005</v>
      </c>
      <c r="J9" s="333">
        <v>8.6929999999999996</v>
      </c>
      <c r="K9" s="333">
        <v>8.9469999999999992</v>
      </c>
      <c r="L9" s="295">
        <v>8.8170000000000002</v>
      </c>
      <c r="M9" s="333">
        <v>8.8469999999999995</v>
      </c>
      <c r="N9" s="333">
        <v>8.81</v>
      </c>
      <c r="O9" s="333">
        <v>9.19</v>
      </c>
      <c r="P9" s="333">
        <v>8.6620000000000008</v>
      </c>
      <c r="Q9" s="333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57"/>
    </row>
    <row r="10" spans="1:28" ht="12.3" customHeight="1">
      <c r="A10" s="500">
        <v>10</v>
      </c>
      <c r="B10" s="500"/>
      <c r="C10" s="295">
        <v>9.8719999999999999</v>
      </c>
      <c r="D10" s="333">
        <v>10.108000000000001</v>
      </c>
      <c r="E10" s="333">
        <v>9.49</v>
      </c>
      <c r="F10" s="333">
        <v>9.8230000000000004</v>
      </c>
      <c r="G10" s="333">
        <v>9.9350000000000005</v>
      </c>
      <c r="H10" s="333">
        <v>10.099</v>
      </c>
      <c r="I10" s="333">
        <v>10.157</v>
      </c>
      <c r="J10" s="333">
        <v>9.9649999999999999</v>
      </c>
      <c r="K10" s="333">
        <v>10.164</v>
      </c>
      <c r="L10" s="295">
        <v>10.108000000000001</v>
      </c>
      <c r="M10" s="333">
        <v>10.048999999999999</v>
      </c>
      <c r="N10" s="333">
        <v>10.099</v>
      </c>
      <c r="O10" s="333">
        <v>9.9930000000000003</v>
      </c>
      <c r="P10" s="333">
        <v>9.93</v>
      </c>
      <c r="Q10" s="333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57"/>
    </row>
    <row r="11" spans="1:28" ht="12" customHeight="1">
      <c r="A11" s="502">
        <v>11.2</v>
      </c>
      <c r="B11" s="502"/>
      <c r="C11" s="295">
        <v>10.769</v>
      </c>
      <c r="D11" s="333">
        <v>10.923</v>
      </c>
      <c r="E11" s="333">
        <v>10.928000000000001</v>
      </c>
      <c r="F11" s="333">
        <v>10.615</v>
      </c>
      <c r="G11" s="333">
        <v>10.804</v>
      </c>
      <c r="H11" s="333">
        <v>10.914</v>
      </c>
      <c r="I11" s="333">
        <v>11.045</v>
      </c>
      <c r="J11" s="333">
        <v>10.769</v>
      </c>
      <c r="K11" s="333">
        <v>11.052</v>
      </c>
      <c r="L11" s="295">
        <v>10.923</v>
      </c>
      <c r="M11" s="333">
        <v>10.928000000000001</v>
      </c>
      <c r="N11" s="333">
        <v>10.914</v>
      </c>
      <c r="O11" s="333">
        <v>11.456</v>
      </c>
      <c r="P11" s="333">
        <v>10.731</v>
      </c>
      <c r="Q11" s="333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57"/>
    </row>
    <row r="12" spans="1:28" ht="12.3" customHeight="1">
      <c r="A12" s="502">
        <v>12.5</v>
      </c>
      <c r="B12" s="502"/>
      <c r="C12" s="294">
        <v>12.034000000000001</v>
      </c>
      <c r="D12" s="336">
        <v>12.702999999999999</v>
      </c>
      <c r="E12" s="333">
        <v>12.528</v>
      </c>
      <c r="F12" s="336">
        <v>12.433</v>
      </c>
      <c r="G12" s="333">
        <v>12.385</v>
      </c>
      <c r="H12" s="336">
        <v>12.554</v>
      </c>
      <c r="I12" s="333">
        <v>12.662000000000001</v>
      </c>
      <c r="J12" s="336">
        <v>12.334</v>
      </c>
      <c r="K12" s="333">
        <v>12.67</v>
      </c>
      <c r="L12" s="294">
        <v>12.481999999999999</v>
      </c>
      <c r="M12" s="333">
        <v>12.528</v>
      </c>
      <c r="N12" s="336">
        <v>12.172000000000001</v>
      </c>
      <c r="O12" s="333">
        <v>12.38</v>
      </c>
      <c r="P12" s="336">
        <v>12.77</v>
      </c>
      <c r="Q12" s="333">
        <v>12.462</v>
      </c>
      <c r="R12" s="336">
        <v>12.061999999999999</v>
      </c>
      <c r="S12" s="82" t="s">
        <v>1</v>
      </c>
      <c r="T12" s="336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57"/>
    </row>
    <row r="13" spans="1:28" ht="12" customHeight="1">
      <c r="A13" s="500">
        <v>14</v>
      </c>
      <c r="B13" s="500"/>
      <c r="C13" s="294">
        <v>13.484</v>
      </c>
      <c r="D13" s="336">
        <v>13.964</v>
      </c>
      <c r="E13" s="333">
        <v>13.538</v>
      </c>
      <c r="F13" s="336">
        <v>13.515000000000001</v>
      </c>
      <c r="G13" s="333">
        <v>13.385</v>
      </c>
      <c r="H13" s="336">
        <v>14.137</v>
      </c>
      <c r="I13" s="333">
        <v>13.683</v>
      </c>
      <c r="J13" s="336">
        <v>13.821</v>
      </c>
      <c r="K13" s="333">
        <v>13.692</v>
      </c>
      <c r="L13" s="294">
        <v>13.721</v>
      </c>
      <c r="M13" s="333">
        <v>13.538</v>
      </c>
      <c r="N13" s="336">
        <v>13.81</v>
      </c>
      <c r="O13" s="336">
        <v>13.832000000000001</v>
      </c>
      <c r="P13" s="336">
        <v>13.79</v>
      </c>
      <c r="Q13" s="336">
        <v>14.654</v>
      </c>
      <c r="R13" s="336">
        <v>13.709</v>
      </c>
      <c r="S13" s="336">
        <v>13.698</v>
      </c>
      <c r="T13" s="336">
        <v>13.901999999999999</v>
      </c>
      <c r="U13" s="336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57"/>
    </row>
    <row r="14" spans="1:28" ht="12.3" customHeight="1">
      <c r="A14" s="500">
        <v>16</v>
      </c>
      <c r="B14" s="500"/>
      <c r="C14" s="294">
        <v>15.601000000000001</v>
      </c>
      <c r="D14" s="336">
        <v>15.835000000000001</v>
      </c>
      <c r="E14" s="336">
        <v>15.826000000000001</v>
      </c>
      <c r="F14" s="336">
        <v>16.274999999999999</v>
      </c>
      <c r="G14" s="336">
        <v>15.773</v>
      </c>
      <c r="H14" s="336">
        <v>15.952</v>
      </c>
      <c r="I14" s="336">
        <v>15.693</v>
      </c>
      <c r="J14" s="336">
        <v>15.522</v>
      </c>
      <c r="K14" s="336">
        <v>15.888</v>
      </c>
      <c r="L14" s="294">
        <v>16.353999999999999</v>
      </c>
      <c r="M14" s="336">
        <v>15.552</v>
      </c>
      <c r="N14" s="336">
        <v>15.215</v>
      </c>
      <c r="O14" s="336">
        <v>15.664999999999999</v>
      </c>
      <c r="P14" s="336">
        <v>16.225999999999999</v>
      </c>
      <c r="Q14" s="336">
        <v>16.013999999999999</v>
      </c>
      <c r="R14" s="336">
        <v>15.192</v>
      </c>
      <c r="S14" s="336">
        <v>15.64</v>
      </c>
      <c r="T14" s="336">
        <v>15.436</v>
      </c>
      <c r="U14" s="336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57"/>
    </row>
    <row r="15" spans="1:28" ht="12" customHeight="1">
      <c r="A15" s="500">
        <v>18</v>
      </c>
      <c r="B15" s="500"/>
      <c r="C15" s="294">
        <v>17.481999999999999</v>
      </c>
      <c r="D15" s="336">
        <v>17.407</v>
      </c>
      <c r="E15" s="336">
        <v>17.306999999999999</v>
      </c>
      <c r="F15" s="336">
        <v>17.692</v>
      </c>
      <c r="G15" s="336">
        <v>17.041</v>
      </c>
      <c r="H15" s="336">
        <v>17.963000000000001</v>
      </c>
      <c r="I15" s="336">
        <v>17.724</v>
      </c>
      <c r="J15" s="336">
        <v>17.393000000000001</v>
      </c>
      <c r="K15" s="336">
        <v>17.571999999999999</v>
      </c>
      <c r="L15" s="294">
        <v>17.978000000000002</v>
      </c>
      <c r="M15" s="336">
        <v>17.007000000000001</v>
      </c>
      <c r="N15" s="336">
        <v>17.262</v>
      </c>
      <c r="O15" s="336">
        <v>17.29</v>
      </c>
      <c r="P15" s="336">
        <v>17.521999999999998</v>
      </c>
      <c r="Q15" s="336">
        <v>18.62</v>
      </c>
      <c r="R15" s="336">
        <v>17.266999999999999</v>
      </c>
      <c r="S15" s="336">
        <v>17.251999999999999</v>
      </c>
      <c r="T15" s="336">
        <v>17.510000000000002</v>
      </c>
      <c r="U15" s="336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57"/>
    </row>
    <row r="16" spans="1:28" ht="12.3" customHeight="1">
      <c r="A16" s="500">
        <v>20</v>
      </c>
      <c r="B16" s="500"/>
      <c r="C16" s="294">
        <v>19.614000000000001</v>
      </c>
      <c r="D16" s="336">
        <v>19.645</v>
      </c>
      <c r="E16" s="336">
        <v>19.728999999999999</v>
      </c>
      <c r="F16" s="336">
        <v>19.948</v>
      </c>
      <c r="G16" s="336">
        <v>20.648</v>
      </c>
      <c r="H16" s="336">
        <v>20.259</v>
      </c>
      <c r="I16" s="336">
        <v>19.940000000000001</v>
      </c>
      <c r="J16" s="336">
        <v>19.744</v>
      </c>
      <c r="K16" s="336">
        <v>19.995000000000001</v>
      </c>
      <c r="L16" s="294">
        <v>20.276</v>
      </c>
      <c r="M16" s="336">
        <v>20.376000000000001</v>
      </c>
      <c r="N16" s="336">
        <v>19.379000000000001</v>
      </c>
      <c r="O16" s="336">
        <v>19.581</v>
      </c>
      <c r="P16" s="336">
        <v>19.762</v>
      </c>
      <c r="Q16" s="336">
        <v>20.347999999999999</v>
      </c>
      <c r="R16" s="336">
        <v>19.606999999999999</v>
      </c>
      <c r="S16" s="336">
        <v>19.698</v>
      </c>
      <c r="T16" s="336">
        <v>19.882999999999999</v>
      </c>
      <c r="U16" s="336">
        <v>19.57</v>
      </c>
      <c r="V16" s="336">
        <v>20.285</v>
      </c>
      <c r="W16" s="82" t="s">
        <v>1</v>
      </c>
      <c r="X16" s="294">
        <v>20.27</v>
      </c>
      <c r="Y16" s="82" t="s">
        <v>1</v>
      </c>
      <c r="Z16" s="336">
        <v>20.763999999999999</v>
      </c>
      <c r="AA16" s="82" t="s">
        <v>1</v>
      </c>
      <c r="AB16" s="461"/>
    </row>
    <row r="17" spans="1:28" ht="12" customHeight="1">
      <c r="A17" s="502">
        <v>22.4</v>
      </c>
      <c r="B17" s="502"/>
      <c r="C17" s="294">
        <v>21.919</v>
      </c>
      <c r="D17" s="336">
        <v>21.954000000000001</v>
      </c>
      <c r="E17" s="336">
        <v>21.574999999999999</v>
      </c>
      <c r="F17" s="336">
        <v>22.146000000000001</v>
      </c>
      <c r="G17" s="336">
        <v>22.308</v>
      </c>
      <c r="H17" s="336">
        <v>22.207999999999998</v>
      </c>
      <c r="I17" s="336">
        <v>22.52</v>
      </c>
      <c r="J17" s="336">
        <v>21.643000000000001</v>
      </c>
      <c r="K17" s="336">
        <v>22.114000000000001</v>
      </c>
      <c r="L17" s="294">
        <v>22.225999999999999</v>
      </c>
      <c r="M17" s="336">
        <v>22.282</v>
      </c>
      <c r="N17" s="336">
        <v>21.9</v>
      </c>
      <c r="O17" s="336">
        <v>21.981999999999999</v>
      </c>
      <c r="P17" s="336">
        <v>22.332999999999998</v>
      </c>
      <c r="Q17" s="336">
        <v>22.95</v>
      </c>
      <c r="R17" s="336">
        <v>22.158000000000001</v>
      </c>
      <c r="S17" s="336">
        <v>22.367999999999999</v>
      </c>
      <c r="T17" s="336">
        <v>22.47</v>
      </c>
      <c r="U17" s="336">
        <v>22.222000000000001</v>
      </c>
      <c r="V17" s="336">
        <v>22.931000000000001</v>
      </c>
      <c r="W17" s="336">
        <v>22.782</v>
      </c>
      <c r="X17" s="294">
        <v>22.914000000000001</v>
      </c>
      <c r="Y17" s="336">
        <v>23.077000000000002</v>
      </c>
      <c r="Z17" s="336">
        <v>23.577999999999999</v>
      </c>
      <c r="AA17" s="336">
        <v>23.638999999999999</v>
      </c>
      <c r="AB17" s="462" t="s">
        <v>336</v>
      </c>
    </row>
    <row r="18" spans="1:28" ht="12.3" customHeight="1">
      <c r="A18" s="500">
        <v>25</v>
      </c>
      <c r="B18" s="500"/>
      <c r="C18" s="294">
        <v>25.38</v>
      </c>
      <c r="D18" s="336">
        <v>25.420999999999999</v>
      </c>
      <c r="E18" s="336">
        <v>24.349</v>
      </c>
      <c r="F18" s="336">
        <v>25.446000000000002</v>
      </c>
      <c r="G18" s="336">
        <v>25.152000000000001</v>
      </c>
      <c r="H18" s="336">
        <v>25.843</v>
      </c>
      <c r="I18" s="336">
        <v>25.4</v>
      </c>
      <c r="J18" s="336">
        <v>25.184999999999999</v>
      </c>
      <c r="K18" s="336">
        <v>25.103000000000002</v>
      </c>
      <c r="L18" s="294">
        <v>25.864000000000001</v>
      </c>
      <c r="M18" s="336">
        <v>25.131</v>
      </c>
      <c r="N18" s="336">
        <v>24.916</v>
      </c>
      <c r="O18" s="336">
        <v>24.841999999999999</v>
      </c>
      <c r="P18" s="336">
        <v>25.408999999999999</v>
      </c>
      <c r="Q18" s="336">
        <v>25.936</v>
      </c>
      <c r="R18" s="336">
        <v>25.047999999999998</v>
      </c>
      <c r="S18" s="336">
        <v>25.277999999999999</v>
      </c>
      <c r="T18" s="336">
        <v>25.4</v>
      </c>
      <c r="U18" s="336">
        <v>25.113</v>
      </c>
      <c r="V18" s="336">
        <v>25.794</v>
      </c>
      <c r="W18" s="336">
        <v>25.753</v>
      </c>
      <c r="X18" s="294">
        <v>25.774999999999999</v>
      </c>
      <c r="Y18" s="336">
        <v>26.087</v>
      </c>
      <c r="Z18" s="336">
        <v>26.521999999999998</v>
      </c>
      <c r="AA18" s="336">
        <v>26.843</v>
      </c>
      <c r="AB18" s="463"/>
    </row>
    <row r="19" spans="1:28" ht="12" customHeight="1">
      <c r="A19" s="500">
        <v>28</v>
      </c>
      <c r="B19" s="500"/>
      <c r="C19" s="294">
        <v>27.835999999999999</v>
      </c>
      <c r="D19" s="336">
        <v>27.881</v>
      </c>
      <c r="E19" s="336">
        <v>27.210999999999999</v>
      </c>
      <c r="F19" s="336">
        <v>28.125</v>
      </c>
      <c r="G19" s="336">
        <v>27.922999999999998</v>
      </c>
      <c r="H19" s="336">
        <v>28.562999999999999</v>
      </c>
      <c r="I19" s="336">
        <v>27.841999999999999</v>
      </c>
      <c r="J19" s="336">
        <v>27.835999999999999</v>
      </c>
      <c r="K19" s="336">
        <v>27.516999999999999</v>
      </c>
      <c r="L19" s="294">
        <v>28.587</v>
      </c>
      <c r="M19" s="336">
        <v>27.547999999999998</v>
      </c>
      <c r="N19" s="336">
        <v>27.847000000000001</v>
      </c>
      <c r="O19" s="336">
        <v>28.263000000000002</v>
      </c>
      <c r="P19" s="336">
        <v>28.398</v>
      </c>
      <c r="Q19" s="336">
        <v>29.507000000000001</v>
      </c>
      <c r="R19" s="336">
        <v>28.175000000000001</v>
      </c>
      <c r="S19" s="336">
        <v>28.576000000000001</v>
      </c>
      <c r="T19" s="336">
        <v>28.571000000000002</v>
      </c>
      <c r="U19" s="336">
        <v>28.388999999999999</v>
      </c>
      <c r="V19" s="336">
        <v>29.300999999999998</v>
      </c>
      <c r="W19" s="336">
        <v>28.968</v>
      </c>
      <c r="X19" s="294">
        <v>29.279</v>
      </c>
      <c r="Y19" s="336">
        <v>29.343</v>
      </c>
      <c r="Z19" s="336">
        <v>30.128</v>
      </c>
      <c r="AA19" s="336">
        <v>30.193999999999999</v>
      </c>
      <c r="AB19" s="463"/>
    </row>
    <row r="20" spans="1:28" ht="12.3" customHeight="1">
      <c r="A20" s="502">
        <v>31.5</v>
      </c>
      <c r="B20" s="502"/>
      <c r="C20" s="294">
        <v>30.196000000000002</v>
      </c>
      <c r="D20" s="336">
        <v>30.245000000000001</v>
      </c>
      <c r="E20" s="336">
        <v>31.507999999999999</v>
      </c>
      <c r="F20" s="336">
        <v>30.509</v>
      </c>
      <c r="G20" s="336">
        <v>32.084000000000003</v>
      </c>
      <c r="H20" s="336">
        <v>30.984999999999999</v>
      </c>
      <c r="I20" s="336">
        <v>32.4</v>
      </c>
      <c r="J20" s="336">
        <v>31.975000000000001</v>
      </c>
      <c r="K20" s="336">
        <v>32.021000000000001</v>
      </c>
      <c r="L20" s="294">
        <v>32.838000000000001</v>
      </c>
      <c r="M20" s="336">
        <v>32.057000000000002</v>
      </c>
      <c r="N20" s="336">
        <v>31.634</v>
      </c>
      <c r="O20" s="336">
        <v>31.588000000000001</v>
      </c>
      <c r="P20" s="336">
        <v>32.259</v>
      </c>
      <c r="Q20" s="336">
        <v>32.978999999999999</v>
      </c>
      <c r="R20" s="336">
        <v>32.005000000000003</v>
      </c>
      <c r="S20" s="336">
        <v>32.143000000000001</v>
      </c>
      <c r="T20" s="336">
        <v>32.456000000000003</v>
      </c>
      <c r="U20" s="336">
        <v>31.933</v>
      </c>
      <c r="V20" s="336">
        <v>31.863</v>
      </c>
      <c r="W20" s="336">
        <v>32.906999999999996</v>
      </c>
      <c r="X20" s="294">
        <v>31.838999999999999</v>
      </c>
      <c r="Y20" s="336">
        <v>33.332999999999998</v>
      </c>
      <c r="Z20" s="336">
        <v>32.762</v>
      </c>
      <c r="AA20" s="336">
        <v>34.299999999999997</v>
      </c>
      <c r="AB20" s="463"/>
    </row>
    <row r="21" spans="1:28" ht="12" customHeight="1">
      <c r="A21" s="502">
        <v>35.5</v>
      </c>
      <c r="B21" s="502"/>
      <c r="C21" s="294">
        <v>34.771000000000001</v>
      </c>
      <c r="D21" s="336">
        <v>34.826999999999998</v>
      </c>
      <c r="E21" s="336">
        <v>34.557000000000002</v>
      </c>
      <c r="F21" s="336">
        <v>35.131</v>
      </c>
      <c r="G21" s="336">
        <v>35.460999999999999</v>
      </c>
      <c r="H21" s="336">
        <v>35.679000000000002</v>
      </c>
      <c r="I21" s="336">
        <v>35.811</v>
      </c>
      <c r="J21" s="336">
        <v>34.771000000000001</v>
      </c>
      <c r="K21" s="336">
        <v>35.392000000000003</v>
      </c>
      <c r="L21" s="294">
        <v>35.709000000000003</v>
      </c>
      <c r="M21" s="336">
        <v>35.432000000000002</v>
      </c>
      <c r="N21" s="336">
        <v>34.4</v>
      </c>
      <c r="O21" s="336">
        <v>35.883000000000003</v>
      </c>
      <c r="P21" s="336">
        <v>35.08</v>
      </c>
      <c r="Q21" s="336">
        <v>37.463000000000001</v>
      </c>
      <c r="R21" s="336">
        <v>34.804000000000002</v>
      </c>
      <c r="S21" s="336">
        <v>36.512999999999998</v>
      </c>
      <c r="T21" s="336">
        <v>35.293999999999997</v>
      </c>
      <c r="U21" s="336">
        <v>36.274999999999999</v>
      </c>
      <c r="V21" s="336">
        <v>34.804000000000002</v>
      </c>
      <c r="W21" s="336">
        <v>35.783999999999999</v>
      </c>
      <c r="X21" s="294">
        <v>36.5</v>
      </c>
      <c r="Y21" s="336">
        <v>36.246000000000002</v>
      </c>
      <c r="Z21" s="336">
        <v>37.558</v>
      </c>
      <c r="AA21" s="336">
        <v>37.298999999999999</v>
      </c>
      <c r="AB21" s="463"/>
    </row>
    <row r="22" spans="1:28" ht="12.3" customHeight="1">
      <c r="A22" s="500">
        <v>40</v>
      </c>
      <c r="B22" s="500"/>
      <c r="C22" s="294">
        <v>39.487000000000002</v>
      </c>
      <c r="D22" s="336">
        <v>39.551000000000002</v>
      </c>
      <c r="E22" s="336">
        <v>37.485999999999997</v>
      </c>
      <c r="F22" s="336">
        <v>39.896000000000001</v>
      </c>
      <c r="G22" s="336">
        <v>38.468000000000004</v>
      </c>
      <c r="H22" s="336">
        <v>40.902000000000001</v>
      </c>
      <c r="I22" s="336">
        <v>38.845999999999997</v>
      </c>
      <c r="J22" s="336">
        <v>39.860999999999997</v>
      </c>
      <c r="K22" s="336">
        <v>40.654000000000003</v>
      </c>
      <c r="L22" s="294">
        <v>40.936</v>
      </c>
      <c r="M22" s="336">
        <v>40.700000000000003</v>
      </c>
      <c r="N22" s="336">
        <v>39.435000000000002</v>
      </c>
      <c r="O22" s="336">
        <v>39.021000000000001</v>
      </c>
      <c r="P22" s="336">
        <v>40.215000000000003</v>
      </c>
      <c r="Q22" s="336">
        <v>40.738</v>
      </c>
      <c r="R22" s="336">
        <v>39.899000000000001</v>
      </c>
      <c r="S22" s="336">
        <v>39.706000000000003</v>
      </c>
      <c r="T22" s="336">
        <v>40.460999999999999</v>
      </c>
      <c r="U22" s="336">
        <v>39.445999999999998</v>
      </c>
      <c r="V22" s="336">
        <v>39.899000000000001</v>
      </c>
      <c r="W22" s="336">
        <v>39.216000000000001</v>
      </c>
      <c r="X22" s="294">
        <v>39.444000000000003</v>
      </c>
      <c r="Y22" s="336">
        <v>41.554000000000002</v>
      </c>
      <c r="Z22" s="336">
        <v>40.588000000000001</v>
      </c>
      <c r="AA22" s="336">
        <v>42.759</v>
      </c>
      <c r="AB22" s="463"/>
    </row>
    <row r="23" spans="1:28" ht="12" customHeight="1">
      <c r="A23" s="500">
        <v>45</v>
      </c>
      <c r="B23" s="500"/>
      <c r="C23" s="294">
        <v>43.076999999999998</v>
      </c>
      <c r="D23" s="336">
        <v>43.146000000000001</v>
      </c>
      <c r="E23" s="336">
        <v>43.165999999999997</v>
      </c>
      <c r="F23" s="336">
        <v>43.523000000000003</v>
      </c>
      <c r="G23" s="336">
        <v>44.295999999999999</v>
      </c>
      <c r="H23" s="336">
        <v>44.201999999999998</v>
      </c>
      <c r="I23" s="336">
        <v>44.731999999999999</v>
      </c>
      <c r="J23" s="336">
        <v>43.076999999999998</v>
      </c>
      <c r="K23" s="336">
        <v>44.209000000000003</v>
      </c>
      <c r="L23" s="294">
        <v>44.238</v>
      </c>
      <c r="M23" s="336">
        <v>44.259</v>
      </c>
      <c r="N23" s="336">
        <v>42.616999999999997</v>
      </c>
      <c r="O23" s="336">
        <v>44.731999999999999</v>
      </c>
      <c r="P23" s="336">
        <v>43.46</v>
      </c>
      <c r="Q23" s="336">
        <v>46.701999999999998</v>
      </c>
      <c r="R23" s="336">
        <v>43.116999999999997</v>
      </c>
      <c r="S23" s="336">
        <v>45.518000000000001</v>
      </c>
      <c r="T23" s="336">
        <v>43.725000000000001</v>
      </c>
      <c r="U23" s="336">
        <v>45.220999999999997</v>
      </c>
      <c r="V23" s="336">
        <v>43.116999999999997</v>
      </c>
      <c r="W23" s="336">
        <v>44.956000000000003</v>
      </c>
      <c r="X23" s="294">
        <v>44.923000000000002</v>
      </c>
      <c r="Y23" s="336">
        <v>44.905999999999999</v>
      </c>
      <c r="Z23" s="336">
        <v>46.225000000000001</v>
      </c>
      <c r="AA23" s="336">
        <v>46.207999999999998</v>
      </c>
      <c r="AB23" s="463"/>
    </row>
    <row r="24" spans="1:28" ht="12.3" customHeight="1">
      <c r="A24" s="500">
        <v>50</v>
      </c>
      <c r="B24" s="500"/>
      <c r="C24" s="294">
        <v>49.06</v>
      </c>
      <c r="D24" s="336">
        <v>49.139000000000003</v>
      </c>
      <c r="E24" s="336">
        <v>49.021000000000001</v>
      </c>
      <c r="F24" s="336">
        <v>49.567999999999998</v>
      </c>
      <c r="G24" s="336">
        <v>50.304000000000002</v>
      </c>
      <c r="H24" s="336">
        <v>50.341000000000001</v>
      </c>
      <c r="I24" s="336">
        <v>51.28</v>
      </c>
      <c r="J24" s="336">
        <v>49.06</v>
      </c>
      <c r="K24" s="336">
        <v>50.680999999999997</v>
      </c>
      <c r="L24" s="294">
        <v>50.383000000000003</v>
      </c>
      <c r="M24" s="336">
        <v>50.737000000000002</v>
      </c>
      <c r="N24" s="336">
        <v>48.536000000000001</v>
      </c>
      <c r="O24" s="336">
        <v>48.341000000000001</v>
      </c>
      <c r="P24" s="336">
        <v>49.496000000000002</v>
      </c>
      <c r="Q24" s="336">
        <v>50.469000000000001</v>
      </c>
      <c r="R24" s="336">
        <v>49.106000000000002</v>
      </c>
      <c r="S24" s="336">
        <v>49.19</v>
      </c>
      <c r="T24" s="336">
        <v>49.798000000000002</v>
      </c>
      <c r="U24" s="336">
        <v>48.869</v>
      </c>
      <c r="V24" s="336">
        <v>49.106000000000002</v>
      </c>
      <c r="W24" s="336">
        <v>48.582999999999998</v>
      </c>
      <c r="X24" s="294">
        <v>50.500999999999998</v>
      </c>
      <c r="Y24" s="336">
        <v>51.143000000000001</v>
      </c>
      <c r="Z24" s="336">
        <v>51.965000000000003</v>
      </c>
      <c r="AA24" s="336">
        <v>52.625999999999998</v>
      </c>
      <c r="AB24" s="463"/>
    </row>
    <row r="25" spans="1:28" ht="12" customHeight="1">
      <c r="A25" s="500">
        <v>56</v>
      </c>
      <c r="B25" s="500"/>
      <c r="C25" s="294">
        <v>55.152000000000001</v>
      </c>
      <c r="D25" s="336">
        <v>55.24</v>
      </c>
      <c r="E25" s="336">
        <v>53.476999999999997</v>
      </c>
      <c r="F25" s="336">
        <v>55.722999999999999</v>
      </c>
      <c r="G25" s="336">
        <v>54.877000000000002</v>
      </c>
      <c r="H25" s="336">
        <v>56.591999999999999</v>
      </c>
      <c r="I25" s="336">
        <v>55.417000000000002</v>
      </c>
      <c r="J25" s="336">
        <v>55.152000000000001</v>
      </c>
      <c r="K25" s="336">
        <v>54.768999999999998</v>
      </c>
      <c r="L25" s="294">
        <v>56.639000000000003</v>
      </c>
      <c r="M25" s="336">
        <v>54.831000000000003</v>
      </c>
      <c r="N25" s="336">
        <v>54.561999999999998</v>
      </c>
      <c r="O25" s="336">
        <v>55.055</v>
      </c>
      <c r="P25" s="336">
        <v>55.640999999999998</v>
      </c>
      <c r="Q25" s="336">
        <v>57.478999999999999</v>
      </c>
      <c r="R25" s="336">
        <v>55.203000000000003</v>
      </c>
      <c r="S25" s="336">
        <v>56.021999999999998</v>
      </c>
      <c r="T25" s="336">
        <v>55.981000000000002</v>
      </c>
      <c r="U25" s="336">
        <v>55.655999999999999</v>
      </c>
      <c r="V25" s="336">
        <v>55.203000000000003</v>
      </c>
      <c r="W25" s="336">
        <v>55.331000000000003</v>
      </c>
      <c r="X25" s="294">
        <v>55.68</v>
      </c>
      <c r="Y25" s="336">
        <v>57.493000000000002</v>
      </c>
      <c r="Z25" s="336">
        <v>57.295000000000002</v>
      </c>
      <c r="AA25" s="336">
        <v>59.16</v>
      </c>
      <c r="AB25" s="463"/>
    </row>
    <row r="26" spans="1:28" ht="12.3" customHeight="1">
      <c r="A26" s="500">
        <v>63</v>
      </c>
      <c r="B26" s="500"/>
      <c r="C26" s="294">
        <v>60.808</v>
      </c>
      <c r="D26" s="336">
        <v>60.905999999999999</v>
      </c>
      <c r="E26" s="336">
        <v>60.904000000000003</v>
      </c>
      <c r="F26" s="336">
        <v>61.438000000000002</v>
      </c>
      <c r="G26" s="336">
        <v>62.499000000000002</v>
      </c>
      <c r="H26" s="336">
        <v>62.396000000000001</v>
      </c>
      <c r="I26" s="336">
        <v>63.113999999999997</v>
      </c>
      <c r="J26" s="336">
        <v>60.808</v>
      </c>
      <c r="K26" s="336">
        <v>62.375999999999998</v>
      </c>
      <c r="L26" s="294">
        <v>62.448</v>
      </c>
      <c r="M26" s="336">
        <v>62.445999999999998</v>
      </c>
      <c r="N26" s="336">
        <v>60.158000000000001</v>
      </c>
      <c r="O26" s="336">
        <v>61.892000000000003</v>
      </c>
      <c r="P26" s="336">
        <v>61.347999999999999</v>
      </c>
      <c r="Q26" s="336">
        <v>64.616</v>
      </c>
      <c r="R26" s="336">
        <v>60.865000000000002</v>
      </c>
      <c r="S26" s="336">
        <v>62.978000000000002</v>
      </c>
      <c r="T26" s="336">
        <v>61.722000000000001</v>
      </c>
      <c r="U26" s="336">
        <v>62.567</v>
      </c>
      <c r="V26" s="336">
        <v>60.865000000000002</v>
      </c>
      <c r="W26" s="336">
        <v>62.201000000000001</v>
      </c>
      <c r="X26" s="294">
        <v>63.45</v>
      </c>
      <c r="Y26" s="336">
        <v>63.39</v>
      </c>
      <c r="Z26" s="336">
        <v>65.290000000000006</v>
      </c>
      <c r="AA26" s="336">
        <v>65.227999999999994</v>
      </c>
      <c r="AB26" s="463"/>
    </row>
    <row r="27" spans="1:28" ht="12" customHeight="1">
      <c r="A27" s="500">
        <v>71</v>
      </c>
      <c r="B27" s="500"/>
      <c r="C27" s="294">
        <v>69.293000000000006</v>
      </c>
      <c r="D27" s="336">
        <v>69.403999999999996</v>
      </c>
      <c r="E27" s="336">
        <v>68.466999999999999</v>
      </c>
      <c r="F27" s="336">
        <v>70.010999999999996</v>
      </c>
      <c r="G27" s="336">
        <v>70.259</v>
      </c>
      <c r="H27" s="336">
        <v>71.102000000000004</v>
      </c>
      <c r="I27" s="336">
        <v>70.950999999999993</v>
      </c>
      <c r="J27" s="336">
        <v>69.293000000000006</v>
      </c>
      <c r="K27" s="336">
        <v>70.120999999999995</v>
      </c>
      <c r="L27" s="294">
        <v>71.161000000000001</v>
      </c>
      <c r="M27" s="336">
        <v>70.2</v>
      </c>
      <c r="N27" s="336">
        <v>68.552999999999997</v>
      </c>
      <c r="O27" s="336">
        <v>68.239000000000004</v>
      </c>
      <c r="P27" s="336">
        <v>69.909000000000006</v>
      </c>
      <c r="Q27" s="336">
        <v>71.242999999999995</v>
      </c>
      <c r="R27" s="336">
        <v>69.358000000000004</v>
      </c>
      <c r="S27" s="336">
        <v>69.438000000000002</v>
      </c>
      <c r="T27" s="336">
        <v>70.334999999999994</v>
      </c>
      <c r="U27" s="336">
        <v>68.983999999999995</v>
      </c>
      <c r="V27" s="336">
        <v>69.358000000000004</v>
      </c>
      <c r="W27" s="336">
        <v>68.581000000000003</v>
      </c>
      <c r="X27" s="294">
        <v>68.215999999999994</v>
      </c>
      <c r="Y27" s="336">
        <v>72.234999999999999</v>
      </c>
      <c r="Z27" s="336">
        <v>70.194000000000003</v>
      </c>
      <c r="AA27" s="336">
        <v>74.33</v>
      </c>
      <c r="AB27" s="463"/>
    </row>
    <row r="28" spans="1:28" ht="12.3" customHeight="1">
      <c r="A28" s="500">
        <v>80</v>
      </c>
      <c r="B28" s="500"/>
      <c r="C28" s="179" t="s">
        <v>1</v>
      </c>
      <c r="D28" s="333">
        <v>77.597999999999999</v>
      </c>
      <c r="E28" s="336">
        <v>75.489000000000004</v>
      </c>
      <c r="F28" s="333">
        <v>79.266999999999996</v>
      </c>
      <c r="G28" s="336">
        <v>77.465000000000003</v>
      </c>
      <c r="H28" s="333">
        <v>79.497</v>
      </c>
      <c r="I28" s="336">
        <v>78.227999999999994</v>
      </c>
      <c r="J28" s="333">
        <v>80.948999999999998</v>
      </c>
      <c r="K28" s="336">
        <v>77.313000000000002</v>
      </c>
      <c r="L28" s="295">
        <v>82.117999999999995</v>
      </c>
      <c r="M28" s="336">
        <v>77.400000000000006</v>
      </c>
      <c r="N28" s="333">
        <v>78.131</v>
      </c>
      <c r="O28" s="336">
        <v>77.760999999999996</v>
      </c>
      <c r="P28" s="333">
        <v>76.506</v>
      </c>
      <c r="Q28" s="336">
        <v>81.183999999999997</v>
      </c>
      <c r="R28" s="333">
        <v>79.977000000000004</v>
      </c>
      <c r="S28" s="336">
        <v>79.126999999999995</v>
      </c>
      <c r="T28" s="333">
        <v>77.638999999999996</v>
      </c>
      <c r="U28" s="336">
        <v>78.61</v>
      </c>
      <c r="V28" s="333">
        <v>79.207999999999998</v>
      </c>
      <c r="W28" s="336">
        <v>78.150000000000006</v>
      </c>
      <c r="X28" s="295">
        <v>82.093999999999994</v>
      </c>
      <c r="Y28" s="336">
        <v>78.551000000000002</v>
      </c>
      <c r="Z28" s="333">
        <v>82.334000000000003</v>
      </c>
      <c r="AA28" s="336">
        <v>79.766000000000005</v>
      </c>
      <c r="AB28" s="464"/>
    </row>
    <row r="29" spans="1:28" ht="12" customHeight="1">
      <c r="A29" s="500">
        <v>90</v>
      </c>
      <c r="B29" s="500"/>
      <c r="C29" s="179" t="s">
        <v>1</v>
      </c>
      <c r="D29" s="333">
        <v>86.72</v>
      </c>
      <c r="E29" s="336">
        <v>86.022000000000006</v>
      </c>
      <c r="F29" s="333">
        <v>88.584999999999994</v>
      </c>
      <c r="G29" s="336">
        <v>88.274000000000001</v>
      </c>
      <c r="H29" s="333">
        <v>88.841999999999999</v>
      </c>
      <c r="I29" s="336">
        <v>89.143000000000001</v>
      </c>
      <c r="J29" s="333">
        <v>89.869</v>
      </c>
      <c r="K29" s="336">
        <v>88.100999999999999</v>
      </c>
      <c r="L29" s="295">
        <v>90.016000000000005</v>
      </c>
      <c r="M29" s="336">
        <v>88.2</v>
      </c>
      <c r="N29" s="333">
        <v>85.644999999999996</v>
      </c>
      <c r="O29" s="333">
        <v>88.626000000000005</v>
      </c>
      <c r="P29" s="333">
        <v>83.864999999999995</v>
      </c>
      <c r="Q29" s="333">
        <v>88.846000000000004</v>
      </c>
      <c r="R29" s="333">
        <v>87.67</v>
      </c>
      <c r="S29" s="333">
        <v>91.242000000000004</v>
      </c>
      <c r="T29" s="333">
        <v>87.739000000000004</v>
      </c>
      <c r="U29" s="333">
        <v>86.772000000000006</v>
      </c>
      <c r="V29" s="333">
        <v>90.116</v>
      </c>
      <c r="W29" s="333">
        <v>88.956999999999994</v>
      </c>
      <c r="X29" s="295">
        <v>93.399000000000001</v>
      </c>
      <c r="Y29" s="333">
        <v>93.460999999999999</v>
      </c>
      <c r="Z29" s="333">
        <v>93.072999999999993</v>
      </c>
      <c r="AA29" s="333">
        <v>93.733999999999995</v>
      </c>
      <c r="AB29" s="456" t="s">
        <v>337</v>
      </c>
    </row>
    <row r="30" spans="1:28" ht="12.3" customHeight="1">
      <c r="A30" s="500">
        <v>100</v>
      </c>
      <c r="B30" s="500"/>
      <c r="C30" s="179" t="s">
        <v>1</v>
      </c>
      <c r="D30" s="333">
        <v>100.413</v>
      </c>
      <c r="E30" s="333">
        <v>96.177999999999997</v>
      </c>
      <c r="F30" s="333">
        <v>102.572</v>
      </c>
      <c r="G30" s="333">
        <v>99.944999999999993</v>
      </c>
      <c r="H30" s="333">
        <v>102.869</v>
      </c>
      <c r="I30" s="333">
        <v>99.667000000000002</v>
      </c>
      <c r="J30" s="333">
        <v>103.259</v>
      </c>
      <c r="K30" s="333">
        <v>102.92100000000001</v>
      </c>
      <c r="L30" s="295">
        <v>104.75</v>
      </c>
      <c r="M30" s="333">
        <v>101.78</v>
      </c>
      <c r="N30" s="333">
        <v>99.664000000000001</v>
      </c>
      <c r="O30" s="333">
        <v>97.15</v>
      </c>
      <c r="P30" s="333">
        <v>97.593000000000004</v>
      </c>
      <c r="Q30" s="333">
        <v>97.391000000000005</v>
      </c>
      <c r="R30" s="333">
        <v>102.02</v>
      </c>
      <c r="S30" s="333">
        <v>100.017</v>
      </c>
      <c r="T30" s="333">
        <v>99.820999999999998</v>
      </c>
      <c r="U30" s="333">
        <v>98.061000000000007</v>
      </c>
      <c r="V30" s="333">
        <v>100.718</v>
      </c>
      <c r="W30" s="333">
        <v>101.20699999999999</v>
      </c>
      <c r="X30" s="295">
        <v>104.387</v>
      </c>
      <c r="Y30" s="333">
        <v>106.331</v>
      </c>
      <c r="Z30" s="333">
        <v>104.69199999999999</v>
      </c>
      <c r="AA30" s="333">
        <v>105.96</v>
      </c>
      <c r="AB30" s="457"/>
    </row>
    <row r="31" spans="1:28" ht="12" customHeight="1">
      <c r="A31" s="500">
        <v>112</v>
      </c>
      <c r="B31" s="500"/>
      <c r="C31" s="179" t="s">
        <v>1</v>
      </c>
      <c r="D31" s="333">
        <v>110.13</v>
      </c>
      <c r="E31" s="333">
        <v>107.48399999999999</v>
      </c>
      <c r="F31" s="333">
        <v>112.498</v>
      </c>
      <c r="G31" s="333">
        <v>111.694</v>
      </c>
      <c r="H31" s="333">
        <v>112.824</v>
      </c>
      <c r="I31" s="333">
        <v>111.384</v>
      </c>
      <c r="J31" s="333">
        <v>114.129</v>
      </c>
      <c r="K31" s="333">
        <v>114.262</v>
      </c>
      <c r="L31" s="295">
        <v>115.777</v>
      </c>
      <c r="M31" s="333">
        <v>111.569</v>
      </c>
      <c r="N31" s="333">
        <v>110.155</v>
      </c>
      <c r="O31" s="333">
        <v>113.05200000000001</v>
      </c>
      <c r="P31" s="333">
        <v>107.86499999999999</v>
      </c>
      <c r="Q31" s="333">
        <v>113.333</v>
      </c>
      <c r="R31" s="333">
        <v>112.759</v>
      </c>
      <c r="S31" s="333">
        <v>116.389</v>
      </c>
      <c r="T31" s="333">
        <v>111.565</v>
      </c>
      <c r="U31" s="333">
        <v>111.565</v>
      </c>
      <c r="V31" s="333">
        <v>114.41200000000001</v>
      </c>
      <c r="W31" s="333">
        <v>113.114</v>
      </c>
      <c r="X31" s="295">
        <v>118.58</v>
      </c>
      <c r="Y31" s="333">
        <v>118.84099999999999</v>
      </c>
      <c r="Z31" s="333">
        <v>118.926</v>
      </c>
      <c r="AA31" s="333">
        <v>119.188</v>
      </c>
      <c r="AB31" s="457"/>
    </row>
    <row r="32" spans="1:28" ht="12.3" customHeight="1">
      <c r="A32" s="500">
        <v>125</v>
      </c>
      <c r="B32" s="500"/>
      <c r="C32" s="179" t="s">
        <v>1</v>
      </c>
      <c r="D32" s="333">
        <v>119.46599999999999</v>
      </c>
      <c r="E32" s="333">
        <v>124.455</v>
      </c>
      <c r="F32" s="333">
        <v>122.035</v>
      </c>
      <c r="G32" s="333">
        <v>129.33000000000001</v>
      </c>
      <c r="H32" s="333">
        <v>122.389</v>
      </c>
      <c r="I32" s="333">
        <v>128.971</v>
      </c>
      <c r="J32" s="333">
        <v>123.804</v>
      </c>
      <c r="K32" s="333">
        <v>131.28700000000001</v>
      </c>
      <c r="L32" s="295">
        <v>125.592</v>
      </c>
      <c r="M32" s="333">
        <v>129.83099999999999</v>
      </c>
      <c r="N32" s="333">
        <v>126.535</v>
      </c>
      <c r="O32" s="333">
        <v>124.952</v>
      </c>
      <c r="P32" s="333">
        <v>123.904</v>
      </c>
      <c r="Q32" s="333">
        <v>125.26300000000001</v>
      </c>
      <c r="R32" s="333">
        <v>129.52600000000001</v>
      </c>
      <c r="S32" s="333">
        <v>128.64099999999999</v>
      </c>
      <c r="T32" s="333">
        <v>126.733</v>
      </c>
      <c r="U32" s="333">
        <v>124.69</v>
      </c>
      <c r="V32" s="333">
        <v>124.416</v>
      </c>
      <c r="W32" s="333">
        <v>128.494</v>
      </c>
      <c r="X32" s="295">
        <v>128.94900000000001</v>
      </c>
      <c r="Y32" s="333">
        <v>134.999</v>
      </c>
      <c r="Z32" s="333">
        <v>129.32499999999999</v>
      </c>
      <c r="AA32" s="333">
        <v>135.393</v>
      </c>
      <c r="AB32" s="457"/>
    </row>
    <row r="33" spans="1:28" ht="12" customHeight="1">
      <c r="A33" s="500">
        <v>140</v>
      </c>
      <c r="B33" s="500"/>
      <c r="C33" s="179" t="s">
        <v>1</v>
      </c>
      <c r="D33" s="333">
        <v>137.56700000000001</v>
      </c>
      <c r="E33" s="333">
        <v>136.499</v>
      </c>
      <c r="F33" s="333">
        <v>140.52500000000001</v>
      </c>
      <c r="G33" s="333">
        <v>141.846</v>
      </c>
      <c r="H33" s="333">
        <v>140.93299999999999</v>
      </c>
      <c r="I33" s="333">
        <v>141.452</v>
      </c>
      <c r="J33" s="333">
        <v>142.56200000000001</v>
      </c>
      <c r="K33" s="333">
        <v>145.10599999999999</v>
      </c>
      <c r="L33" s="295">
        <v>144.62100000000001</v>
      </c>
      <c r="M33" s="333">
        <v>143.49799999999999</v>
      </c>
      <c r="N33" s="333">
        <v>137.59899999999999</v>
      </c>
      <c r="O33" s="333">
        <v>143.53200000000001</v>
      </c>
      <c r="P33" s="333">
        <v>134.739</v>
      </c>
      <c r="Q33" s="333">
        <v>143.88900000000001</v>
      </c>
      <c r="R33" s="333">
        <v>140.851</v>
      </c>
      <c r="S33" s="333">
        <v>147.76900000000001</v>
      </c>
      <c r="T33" s="333">
        <v>137.815</v>
      </c>
      <c r="U33" s="333">
        <v>141.643</v>
      </c>
      <c r="V33" s="333">
        <v>142.62899999999999</v>
      </c>
      <c r="W33" s="333">
        <v>139.72900000000001</v>
      </c>
      <c r="X33" s="295">
        <v>147.82400000000001</v>
      </c>
      <c r="Y33" s="333">
        <v>146.803</v>
      </c>
      <c r="Z33" s="333">
        <v>148.256</v>
      </c>
      <c r="AA33" s="333">
        <v>147.232</v>
      </c>
      <c r="AB33" s="457"/>
    </row>
    <row r="34" spans="1:28" ht="12.3" customHeight="1">
      <c r="A34" s="500">
        <v>160</v>
      </c>
      <c r="B34" s="500"/>
      <c r="C34" s="179" t="s">
        <v>1</v>
      </c>
      <c r="D34" s="333">
        <v>156.22499999999999</v>
      </c>
      <c r="E34" s="333">
        <v>148.071</v>
      </c>
      <c r="F34" s="333">
        <v>159.58500000000001</v>
      </c>
      <c r="G34" s="333">
        <v>153.87100000000001</v>
      </c>
      <c r="H34" s="333">
        <v>160.047</v>
      </c>
      <c r="I34" s="333">
        <v>153.44300000000001</v>
      </c>
      <c r="J34" s="333">
        <v>161.89699999999999</v>
      </c>
      <c r="K34" s="333">
        <v>157.40799999999999</v>
      </c>
      <c r="L34" s="295">
        <v>165.791</v>
      </c>
      <c r="M34" s="333">
        <v>155.66300000000001</v>
      </c>
      <c r="N34" s="333">
        <v>157.74100000000001</v>
      </c>
      <c r="O34" s="333">
        <v>156.08199999999999</v>
      </c>
      <c r="P34" s="333">
        <v>154.46199999999999</v>
      </c>
      <c r="Q34" s="333">
        <v>156.471</v>
      </c>
      <c r="R34" s="333">
        <v>161.47</v>
      </c>
      <c r="S34" s="333">
        <v>160.69</v>
      </c>
      <c r="T34" s="333">
        <v>157.989</v>
      </c>
      <c r="U34" s="333">
        <v>154.029</v>
      </c>
      <c r="V34" s="333">
        <v>154.13499999999999</v>
      </c>
      <c r="W34" s="333">
        <v>160.18299999999999</v>
      </c>
      <c r="X34" s="295">
        <v>159.75</v>
      </c>
      <c r="Y34" s="333">
        <v>168.292</v>
      </c>
      <c r="Z34" s="333">
        <v>160.21700000000001</v>
      </c>
      <c r="AA34" s="333">
        <v>168.78399999999999</v>
      </c>
      <c r="AB34" s="457"/>
    </row>
    <row r="35" spans="1:28" ht="12" customHeight="1">
      <c r="A35" s="500">
        <v>180</v>
      </c>
      <c r="B35" s="500"/>
      <c r="C35" s="179" t="s">
        <v>1</v>
      </c>
      <c r="D35" s="333">
        <v>170.42699999999999</v>
      </c>
      <c r="E35" s="333">
        <v>170.506</v>
      </c>
      <c r="F35" s="333">
        <v>174.09200000000001</v>
      </c>
      <c r="G35" s="333">
        <v>177.184</v>
      </c>
      <c r="H35" s="333">
        <v>174.59700000000001</v>
      </c>
      <c r="I35" s="333">
        <v>176.69200000000001</v>
      </c>
      <c r="J35" s="333">
        <v>176.61500000000001</v>
      </c>
      <c r="K35" s="333">
        <v>181.25800000000001</v>
      </c>
      <c r="L35" s="295">
        <v>179.166</v>
      </c>
      <c r="M35" s="333">
        <v>179.24799999999999</v>
      </c>
      <c r="N35" s="333">
        <v>170.46700000000001</v>
      </c>
      <c r="O35" s="333">
        <v>178.93</v>
      </c>
      <c r="P35" s="333">
        <v>166.923</v>
      </c>
      <c r="Q35" s="333">
        <v>179.375</v>
      </c>
      <c r="R35" s="333">
        <v>174.49600000000001</v>
      </c>
      <c r="S35" s="333">
        <v>184.21199999999999</v>
      </c>
      <c r="T35" s="333">
        <v>170.73500000000001</v>
      </c>
      <c r="U35" s="333">
        <v>176.57599999999999</v>
      </c>
      <c r="V35" s="333">
        <v>175.54300000000001</v>
      </c>
      <c r="W35" s="333">
        <v>173.10599999999999</v>
      </c>
      <c r="X35" s="295">
        <v>181.93799999999999</v>
      </c>
      <c r="Y35" s="333">
        <v>181.869</v>
      </c>
      <c r="Z35" s="333">
        <v>182.46899999999999</v>
      </c>
      <c r="AA35" s="333">
        <v>182.40100000000001</v>
      </c>
      <c r="AB35" s="457"/>
    </row>
    <row r="36" spans="1:28" ht="12.3" customHeight="1">
      <c r="A36" s="500">
        <v>200</v>
      </c>
      <c r="B36" s="500"/>
      <c r="C36" s="179" t="s">
        <v>1</v>
      </c>
      <c r="D36" s="333">
        <v>194.09800000000001</v>
      </c>
      <c r="E36" s="333">
        <v>193.631</v>
      </c>
      <c r="F36" s="333">
        <v>198.27199999999999</v>
      </c>
      <c r="G36" s="333">
        <v>201.215</v>
      </c>
      <c r="H36" s="333">
        <v>198.84700000000001</v>
      </c>
      <c r="I36" s="333">
        <v>200.65600000000001</v>
      </c>
      <c r="J36" s="333">
        <v>201.14500000000001</v>
      </c>
      <c r="K36" s="333">
        <v>205.84100000000001</v>
      </c>
      <c r="L36" s="295">
        <v>204.05</v>
      </c>
      <c r="M36" s="333">
        <v>205.48699999999999</v>
      </c>
      <c r="N36" s="333">
        <v>194.143</v>
      </c>
      <c r="O36" s="333">
        <v>193.36500000000001</v>
      </c>
      <c r="P36" s="333">
        <v>190.107</v>
      </c>
      <c r="Q36" s="333">
        <v>193.846</v>
      </c>
      <c r="R36" s="333">
        <v>198.732</v>
      </c>
      <c r="S36" s="333">
        <v>199.07300000000001</v>
      </c>
      <c r="T36" s="333">
        <v>194.44800000000001</v>
      </c>
      <c r="U36" s="333">
        <v>190.821</v>
      </c>
      <c r="V36" s="333">
        <v>197.34</v>
      </c>
      <c r="W36" s="333">
        <v>197.148</v>
      </c>
      <c r="X36" s="295">
        <v>204.52799999999999</v>
      </c>
      <c r="Y36" s="333">
        <v>207.12899999999999</v>
      </c>
      <c r="Z36" s="333">
        <v>205.126</v>
      </c>
      <c r="AA36" s="333">
        <v>207.73400000000001</v>
      </c>
      <c r="AB36" s="457"/>
    </row>
    <row r="37" spans="1:28" ht="12" customHeight="1">
      <c r="A37" s="500">
        <v>224</v>
      </c>
      <c r="B37" s="500"/>
      <c r="C37" s="179" t="s">
        <v>1</v>
      </c>
      <c r="D37" s="333">
        <v>218.19900000000001</v>
      </c>
      <c r="E37" s="333">
        <v>211.23400000000001</v>
      </c>
      <c r="F37" s="333">
        <v>222.89099999999999</v>
      </c>
      <c r="G37" s="333">
        <v>219.50800000000001</v>
      </c>
      <c r="H37" s="333">
        <v>223.53700000000001</v>
      </c>
      <c r="I37" s="333">
        <v>218.898</v>
      </c>
      <c r="J37" s="333">
        <v>226.12100000000001</v>
      </c>
      <c r="K37" s="333">
        <v>224.554</v>
      </c>
      <c r="L37" s="295">
        <v>229.386</v>
      </c>
      <c r="M37" s="333">
        <v>222.065</v>
      </c>
      <c r="N37" s="333">
        <v>218.249</v>
      </c>
      <c r="O37" s="333">
        <v>220.22200000000001</v>
      </c>
      <c r="P37" s="333">
        <v>213.71199999999999</v>
      </c>
      <c r="Q37" s="333">
        <v>220.76900000000001</v>
      </c>
      <c r="R37" s="333">
        <v>223.40799999999999</v>
      </c>
      <c r="S37" s="333">
        <v>226.72200000000001</v>
      </c>
      <c r="T37" s="333">
        <v>218.59200000000001</v>
      </c>
      <c r="U37" s="333">
        <v>217.32400000000001</v>
      </c>
      <c r="V37" s="333">
        <v>217.58</v>
      </c>
      <c r="W37" s="333">
        <v>221.62799999999999</v>
      </c>
      <c r="X37" s="295">
        <v>225.506</v>
      </c>
      <c r="Y37" s="333">
        <v>232.84800000000001</v>
      </c>
      <c r="Z37" s="333">
        <v>226.16499999999999</v>
      </c>
      <c r="AA37" s="333">
        <v>233.52799999999999</v>
      </c>
      <c r="AB37" s="457"/>
    </row>
    <row r="38" spans="1:28" ht="12.3" customHeight="1">
      <c r="A38" s="500">
        <v>250</v>
      </c>
      <c r="B38" s="500"/>
      <c r="C38" s="179" t="s">
        <v>1</v>
      </c>
      <c r="D38" s="333">
        <v>240.578</v>
      </c>
      <c r="E38" s="333">
        <v>240.572</v>
      </c>
      <c r="F38" s="333">
        <v>245.75200000000001</v>
      </c>
      <c r="G38" s="333">
        <v>249.995</v>
      </c>
      <c r="H38" s="333">
        <v>246.464</v>
      </c>
      <c r="I38" s="333">
        <v>249.3</v>
      </c>
      <c r="J38" s="333">
        <v>249.31299999999999</v>
      </c>
      <c r="K38" s="333">
        <v>255.74199999999999</v>
      </c>
      <c r="L38" s="295">
        <v>252.91300000000001</v>
      </c>
      <c r="M38" s="333">
        <v>252.90700000000001</v>
      </c>
      <c r="N38" s="333">
        <v>240.63399999999999</v>
      </c>
      <c r="O38" s="333">
        <v>247.566</v>
      </c>
      <c r="P38" s="333">
        <v>235.631</v>
      </c>
      <c r="Q38" s="333">
        <v>248.18199999999999</v>
      </c>
      <c r="R38" s="333">
        <v>246.322</v>
      </c>
      <c r="S38" s="333">
        <v>254.874</v>
      </c>
      <c r="T38" s="333">
        <v>241.012</v>
      </c>
      <c r="U38" s="333">
        <v>244.309</v>
      </c>
      <c r="V38" s="333">
        <v>247.94</v>
      </c>
      <c r="W38" s="333">
        <v>244.35900000000001</v>
      </c>
      <c r="X38" s="295">
        <v>256.97199999999998</v>
      </c>
      <c r="Y38" s="333">
        <v>256.73</v>
      </c>
      <c r="Z38" s="333">
        <v>257.72199999999998</v>
      </c>
      <c r="AA38" s="333">
        <v>257.48</v>
      </c>
      <c r="AB38" s="457"/>
    </row>
    <row r="39" spans="1:28" ht="12" customHeight="1">
      <c r="A39" s="500">
        <v>280</v>
      </c>
      <c r="B39" s="500"/>
      <c r="C39" s="179" t="s">
        <v>1</v>
      </c>
      <c r="D39" s="333">
        <v>274.14699999999999</v>
      </c>
      <c r="E39" s="333">
        <v>270.44299999999998</v>
      </c>
      <c r="F39" s="333">
        <v>280.04199999999997</v>
      </c>
      <c r="G39" s="333">
        <v>281.036</v>
      </c>
      <c r="H39" s="333">
        <v>280.85500000000002</v>
      </c>
      <c r="I39" s="333">
        <v>280.25599999999997</v>
      </c>
      <c r="J39" s="333">
        <v>284.101</v>
      </c>
      <c r="K39" s="333">
        <v>287.49700000000001</v>
      </c>
      <c r="L39" s="295">
        <v>288.20400000000001</v>
      </c>
      <c r="M39" s="333">
        <v>284.31</v>
      </c>
      <c r="N39" s="333">
        <v>274.20999999999998</v>
      </c>
      <c r="O39" s="333">
        <v>272.95699999999999</v>
      </c>
      <c r="P39" s="333">
        <v>268.51</v>
      </c>
      <c r="Q39" s="333">
        <v>273.63600000000002</v>
      </c>
      <c r="R39" s="333">
        <v>280.69200000000001</v>
      </c>
      <c r="S39" s="333">
        <v>281.01499999999999</v>
      </c>
      <c r="T39" s="333">
        <v>274.64100000000002</v>
      </c>
      <c r="U39" s="333">
        <v>269.36599999999999</v>
      </c>
      <c r="V39" s="333">
        <v>273.24</v>
      </c>
      <c r="W39" s="333">
        <v>278.45600000000002</v>
      </c>
      <c r="X39" s="295">
        <v>283.19299999999998</v>
      </c>
      <c r="Y39" s="333">
        <v>292.55200000000002</v>
      </c>
      <c r="Z39" s="333">
        <v>284.02100000000002</v>
      </c>
      <c r="AA39" s="333">
        <v>293.40699999999998</v>
      </c>
      <c r="AB39" s="457"/>
    </row>
    <row r="40" spans="1:28" ht="12.3" customHeight="1">
      <c r="A40" s="500">
        <v>315</v>
      </c>
      <c r="B40" s="500"/>
      <c r="C40" s="179" t="s">
        <v>1</v>
      </c>
      <c r="D40" s="333">
        <v>302.12099999999998</v>
      </c>
      <c r="E40" s="333">
        <v>298.18099999999998</v>
      </c>
      <c r="F40" s="333">
        <v>308.61799999999999</v>
      </c>
      <c r="G40" s="333">
        <v>309.86099999999999</v>
      </c>
      <c r="H40" s="333">
        <v>309.51299999999998</v>
      </c>
      <c r="I40" s="333">
        <v>309</v>
      </c>
      <c r="J40" s="333">
        <v>313.09100000000001</v>
      </c>
      <c r="K40" s="333">
        <v>316.98399999999998</v>
      </c>
      <c r="L40" s="295">
        <v>317.61200000000002</v>
      </c>
      <c r="M40" s="333">
        <v>313.47000000000003</v>
      </c>
      <c r="N40" s="333">
        <v>302.19099999999997</v>
      </c>
      <c r="O40" s="333">
        <v>311.04500000000002</v>
      </c>
      <c r="P40" s="333">
        <v>295.90899999999999</v>
      </c>
      <c r="Q40" s="333">
        <v>311.81799999999998</v>
      </c>
      <c r="R40" s="333">
        <v>309.334</v>
      </c>
      <c r="S40" s="333">
        <v>320.226</v>
      </c>
      <c r="T40" s="333">
        <v>302.666</v>
      </c>
      <c r="U40" s="333">
        <v>306.952</v>
      </c>
      <c r="V40" s="333">
        <v>298.46199999999999</v>
      </c>
      <c r="W40" s="333">
        <v>306.86900000000003</v>
      </c>
      <c r="X40" s="295">
        <v>304.46499999999997</v>
      </c>
      <c r="Y40" s="333">
        <v>322.40499999999997</v>
      </c>
      <c r="Z40" s="333">
        <v>305.35399999999998</v>
      </c>
      <c r="AA40" s="333">
        <v>323.34699999999998</v>
      </c>
      <c r="AB40" s="457"/>
    </row>
    <row r="41" spans="1:28" ht="12.3" customHeight="1">
      <c r="A41" s="500">
        <v>355</v>
      </c>
      <c r="B41" s="500"/>
      <c r="C41" s="179" t="s">
        <v>1</v>
      </c>
      <c r="D41" s="82" t="s">
        <v>1</v>
      </c>
      <c r="E41" s="333">
        <v>339.78800000000001</v>
      </c>
      <c r="F41" s="82" t="s">
        <v>1</v>
      </c>
      <c r="G41" s="333">
        <v>353.09699999999998</v>
      </c>
      <c r="H41" s="82" t="s">
        <v>1</v>
      </c>
      <c r="I41" s="333">
        <v>352.11599999999999</v>
      </c>
      <c r="J41" s="82" t="s">
        <v>1</v>
      </c>
      <c r="K41" s="333">
        <v>361.214</v>
      </c>
      <c r="L41" s="179" t="s">
        <v>1</v>
      </c>
      <c r="M41" s="333">
        <v>357.21</v>
      </c>
      <c r="N41" s="82" t="s">
        <v>1</v>
      </c>
      <c r="O41" s="333">
        <v>342.78399999999999</v>
      </c>
      <c r="P41" s="82" t="s">
        <v>1</v>
      </c>
      <c r="Q41" s="333">
        <v>343.63600000000002</v>
      </c>
      <c r="R41" s="82" t="s">
        <v>1</v>
      </c>
      <c r="S41" s="333">
        <v>352.90199999999999</v>
      </c>
      <c r="T41" s="82" t="s">
        <v>1</v>
      </c>
      <c r="U41" s="333">
        <v>338.27300000000002</v>
      </c>
      <c r="V41" s="82" t="s">
        <v>1</v>
      </c>
      <c r="W41" s="333">
        <v>336.29500000000002</v>
      </c>
      <c r="X41" s="179" t="s">
        <v>1</v>
      </c>
      <c r="Y41" s="333">
        <v>350.596</v>
      </c>
      <c r="Z41" s="82" t="s">
        <v>1</v>
      </c>
      <c r="AA41" s="333">
        <v>346.99299999999999</v>
      </c>
      <c r="AB41" s="457"/>
    </row>
    <row r="42" spans="1:28" ht="12" customHeight="1">
      <c r="A42" s="503">
        <v>400</v>
      </c>
      <c r="B42" s="503"/>
      <c r="C42" s="362" t="s">
        <v>1</v>
      </c>
      <c r="D42" s="363" t="s">
        <v>1</v>
      </c>
      <c r="E42" s="364">
        <v>374.46</v>
      </c>
      <c r="F42" s="363" t="s">
        <v>1</v>
      </c>
      <c r="G42" s="364">
        <v>389.12700000000001</v>
      </c>
      <c r="H42" s="363" t="s">
        <v>1</v>
      </c>
      <c r="I42" s="364">
        <v>388.04599999999999</v>
      </c>
      <c r="J42" s="363" t="s">
        <v>1</v>
      </c>
      <c r="K42" s="364">
        <v>398.07299999999998</v>
      </c>
      <c r="L42" s="362" t="s">
        <v>1</v>
      </c>
      <c r="M42" s="364">
        <v>393.66</v>
      </c>
      <c r="N42" s="363" t="s">
        <v>1</v>
      </c>
      <c r="O42" s="363" t="s">
        <v>1</v>
      </c>
      <c r="P42" s="363" t="s">
        <v>1</v>
      </c>
      <c r="Q42" s="363" t="s">
        <v>1</v>
      </c>
      <c r="R42" s="363" t="s">
        <v>1</v>
      </c>
      <c r="S42" s="363" t="s">
        <v>1</v>
      </c>
      <c r="T42" s="363" t="s">
        <v>1</v>
      </c>
      <c r="U42" s="363" t="s">
        <v>1</v>
      </c>
      <c r="V42" s="363" t="s">
        <v>1</v>
      </c>
      <c r="W42" s="363" t="s">
        <v>1</v>
      </c>
      <c r="X42" s="362" t="s">
        <v>1</v>
      </c>
      <c r="Y42" s="363" t="s">
        <v>1</v>
      </c>
      <c r="Z42" s="363" t="s">
        <v>1</v>
      </c>
      <c r="AA42" s="363" t="s">
        <v>1</v>
      </c>
      <c r="AB42" s="472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510" t="s">
        <v>517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</row>
    <row r="2" spans="1:23" ht="12.3" customHeight="1">
      <c r="A2" s="474" t="s">
        <v>14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</row>
    <row r="3" spans="1:23" ht="12" customHeight="1">
      <c r="A3" s="507" t="s">
        <v>69</v>
      </c>
      <c r="B3" s="508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501">
        <v>1.25</v>
      </c>
      <c r="B4" s="501"/>
      <c r="C4" s="348">
        <v>2.8549999999999999E-2</v>
      </c>
      <c r="D4" s="82" t="s">
        <v>1</v>
      </c>
      <c r="E4" s="349">
        <v>0.15709000000000001</v>
      </c>
      <c r="F4" s="82" t="s">
        <v>1</v>
      </c>
      <c r="G4" s="349">
        <v>0.42299999999999999</v>
      </c>
      <c r="H4" s="82" t="s">
        <v>1</v>
      </c>
      <c r="I4" s="351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56" t="s">
        <v>175</v>
      </c>
    </row>
    <row r="5" spans="1:23" ht="12" customHeight="1">
      <c r="A5" s="502">
        <v>1.4</v>
      </c>
      <c r="B5" s="502"/>
      <c r="C5" s="348">
        <v>2.589E-2</v>
      </c>
      <c r="D5" s="82" t="s">
        <v>1</v>
      </c>
      <c r="E5" s="349">
        <v>0.14349000000000001</v>
      </c>
      <c r="F5" s="82" t="s">
        <v>1</v>
      </c>
      <c r="G5" s="349">
        <v>0.38557999999999998</v>
      </c>
      <c r="H5" s="82" t="s">
        <v>1</v>
      </c>
      <c r="I5" s="351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57"/>
    </row>
    <row r="6" spans="1:23" ht="12.3" customHeight="1">
      <c r="A6" s="502">
        <v>1.6</v>
      </c>
      <c r="B6" s="502"/>
      <c r="C6" s="348">
        <v>2.2429999999999999E-2</v>
      </c>
      <c r="D6" s="82" t="s">
        <v>1</v>
      </c>
      <c r="E6" s="349">
        <v>0.12352</v>
      </c>
      <c r="F6" s="82" t="s">
        <v>1</v>
      </c>
      <c r="G6" s="349">
        <v>0.33518999999999999</v>
      </c>
      <c r="H6" s="82" t="s">
        <v>1</v>
      </c>
      <c r="I6" s="351">
        <v>0.72860999999999998</v>
      </c>
      <c r="J6" s="82" t="s">
        <v>1</v>
      </c>
      <c r="K6" s="349">
        <v>1.74977</v>
      </c>
      <c r="L6" s="82" t="s">
        <v>1</v>
      </c>
      <c r="M6" s="348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57"/>
    </row>
    <row r="7" spans="1:23" ht="12" customHeight="1">
      <c r="A7" s="502">
        <v>1.8</v>
      </c>
      <c r="B7" s="502"/>
      <c r="C7" s="348">
        <v>1.9740000000000001E-2</v>
      </c>
      <c r="D7" s="82" t="s">
        <v>1</v>
      </c>
      <c r="E7" s="349">
        <v>0.10903</v>
      </c>
      <c r="F7" s="82" t="s">
        <v>1</v>
      </c>
      <c r="G7" s="349">
        <v>0.30514999999999998</v>
      </c>
      <c r="H7" s="82" t="s">
        <v>1</v>
      </c>
      <c r="I7" s="351">
        <v>0.66019000000000005</v>
      </c>
      <c r="J7" s="82" t="s">
        <v>1</v>
      </c>
      <c r="K7" s="349">
        <v>1.5879799999999999</v>
      </c>
      <c r="L7" s="82" t="s">
        <v>1</v>
      </c>
      <c r="M7" s="348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57"/>
    </row>
    <row r="8" spans="1:23" ht="12.3" customHeight="1">
      <c r="A8" s="502">
        <v>2</v>
      </c>
      <c r="B8" s="502"/>
      <c r="C8" s="348">
        <v>1.8200000000000001E-2</v>
      </c>
      <c r="D8" s="82" t="s">
        <v>1</v>
      </c>
      <c r="E8" s="349">
        <v>9.9320000000000006E-2</v>
      </c>
      <c r="F8" s="82" t="s">
        <v>1</v>
      </c>
      <c r="G8" s="349">
        <v>0.27746999999999999</v>
      </c>
      <c r="H8" s="82" t="s">
        <v>1</v>
      </c>
      <c r="I8" s="351">
        <v>0.59704000000000002</v>
      </c>
      <c r="J8" s="82" t="s">
        <v>1</v>
      </c>
      <c r="K8" s="349">
        <v>1.43757</v>
      </c>
      <c r="L8" s="82" t="s">
        <v>1</v>
      </c>
      <c r="M8" s="348">
        <v>2.9058199999999998</v>
      </c>
      <c r="N8" s="82" t="s">
        <v>1</v>
      </c>
      <c r="O8" s="349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57"/>
    </row>
    <row r="9" spans="1:23" ht="12" customHeight="1">
      <c r="A9" s="501">
        <v>2.2400000000000002</v>
      </c>
      <c r="B9" s="501"/>
      <c r="C9" s="348">
        <v>1.677E-2</v>
      </c>
      <c r="D9" s="82" t="s">
        <v>1</v>
      </c>
      <c r="E9" s="349">
        <v>9.0289999999999995E-2</v>
      </c>
      <c r="F9" s="82" t="s">
        <v>1</v>
      </c>
      <c r="G9" s="349">
        <v>0.23963999999999999</v>
      </c>
      <c r="H9" s="82" t="s">
        <v>1</v>
      </c>
      <c r="I9" s="351">
        <v>0.53839999999999999</v>
      </c>
      <c r="J9" s="82" t="s">
        <v>1</v>
      </c>
      <c r="K9" s="349">
        <v>1.29698</v>
      </c>
      <c r="L9" s="82" t="s">
        <v>1</v>
      </c>
      <c r="M9" s="348">
        <v>2.6125799999999999</v>
      </c>
      <c r="N9" s="82" t="s">
        <v>1</v>
      </c>
      <c r="O9" s="349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57"/>
    </row>
    <row r="10" spans="1:23" ht="12.3" customHeight="1">
      <c r="A10" s="502">
        <v>2.5</v>
      </c>
      <c r="B10" s="502"/>
      <c r="C10" s="348">
        <v>1.4789999999999999E-2</v>
      </c>
      <c r="D10" s="82" t="s">
        <v>1</v>
      </c>
      <c r="E10" s="349">
        <v>8.1869999999999998E-2</v>
      </c>
      <c r="F10" s="82" t="s">
        <v>1</v>
      </c>
      <c r="G10" s="349">
        <v>0.21651999999999999</v>
      </c>
      <c r="H10" s="82" t="s">
        <v>1</v>
      </c>
      <c r="I10" s="351">
        <v>0.48365999999999998</v>
      </c>
      <c r="J10" s="82" t="s">
        <v>1</v>
      </c>
      <c r="K10" s="349">
        <v>1.1649499999999999</v>
      </c>
      <c r="L10" s="82" t="s">
        <v>1</v>
      </c>
      <c r="M10" s="348">
        <v>2.33813</v>
      </c>
      <c r="N10" s="82" t="s">
        <v>1</v>
      </c>
      <c r="O10" s="349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57"/>
    </row>
    <row r="11" spans="1:23" ht="12" customHeight="1">
      <c r="A11" s="502">
        <v>2.8</v>
      </c>
      <c r="B11" s="502"/>
      <c r="C11" s="348">
        <v>1.3469999999999999E-2</v>
      </c>
      <c r="D11" s="82" t="s">
        <v>1</v>
      </c>
      <c r="E11" s="349">
        <v>7.3980000000000004E-2</v>
      </c>
      <c r="F11" s="82" t="s">
        <v>1</v>
      </c>
      <c r="G11" s="349">
        <v>0.20155999999999999</v>
      </c>
      <c r="H11" s="82" t="s">
        <v>1</v>
      </c>
      <c r="I11" s="351">
        <v>0.44378000000000001</v>
      </c>
      <c r="J11" s="82" t="s">
        <v>1</v>
      </c>
      <c r="K11" s="349">
        <v>1.0405500000000001</v>
      </c>
      <c r="L11" s="82" t="s">
        <v>1</v>
      </c>
      <c r="M11" s="348">
        <v>2.0804200000000002</v>
      </c>
      <c r="N11" s="82" t="s">
        <v>1</v>
      </c>
      <c r="O11" s="349">
        <v>4.9598199999999997</v>
      </c>
      <c r="P11" s="82" t="s">
        <v>1</v>
      </c>
      <c r="Q11" s="349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57"/>
    </row>
    <row r="12" spans="1:23" ht="12.3" customHeight="1">
      <c r="A12" s="501">
        <v>3.15</v>
      </c>
      <c r="B12" s="501"/>
      <c r="C12" s="348">
        <v>9.1500000000000001E-3</v>
      </c>
      <c r="D12" s="82" t="s">
        <v>1</v>
      </c>
      <c r="E12" s="349">
        <v>5.006E-2</v>
      </c>
      <c r="F12" s="82" t="s">
        <v>1</v>
      </c>
      <c r="G12" s="349">
        <v>0.14030999999999999</v>
      </c>
      <c r="H12" s="82" t="s">
        <v>1</v>
      </c>
      <c r="I12" s="351">
        <v>0.31089</v>
      </c>
      <c r="J12" s="82" t="s">
        <v>1</v>
      </c>
      <c r="K12" s="349">
        <v>0.84211000000000003</v>
      </c>
      <c r="L12" s="82" t="s">
        <v>1</v>
      </c>
      <c r="M12" s="348">
        <v>1.6727300000000001</v>
      </c>
      <c r="N12" s="82" t="s">
        <v>1</v>
      </c>
      <c r="O12" s="349">
        <v>3.9116200000000001</v>
      </c>
      <c r="P12" s="82" t="s">
        <v>1</v>
      </c>
      <c r="Q12" s="349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57"/>
    </row>
    <row r="13" spans="1:23" ht="12" customHeight="1">
      <c r="A13" s="501">
        <v>3.55</v>
      </c>
      <c r="B13" s="501"/>
      <c r="C13" s="348">
        <v>8.0700000000000008E-3</v>
      </c>
      <c r="D13" s="82" t="s">
        <v>1</v>
      </c>
      <c r="E13" s="349">
        <v>4.369E-2</v>
      </c>
      <c r="F13" s="82" t="s">
        <v>1</v>
      </c>
      <c r="G13" s="349">
        <v>0.12256</v>
      </c>
      <c r="H13" s="82" t="s">
        <v>1</v>
      </c>
      <c r="I13" s="351">
        <v>0.2732</v>
      </c>
      <c r="J13" s="82" t="s">
        <v>1</v>
      </c>
      <c r="K13" s="349">
        <v>0.73594999999999999</v>
      </c>
      <c r="L13" s="82" t="s">
        <v>1</v>
      </c>
      <c r="M13" s="348">
        <v>1.4739899999999999</v>
      </c>
      <c r="N13" s="82" t="s">
        <v>1</v>
      </c>
      <c r="O13" s="349">
        <v>3.40747</v>
      </c>
      <c r="P13" s="82" t="s">
        <v>1</v>
      </c>
      <c r="Q13" s="349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57"/>
    </row>
    <row r="14" spans="1:23" ht="12.3" customHeight="1">
      <c r="A14" s="502">
        <v>4</v>
      </c>
      <c r="B14" s="502"/>
      <c r="C14" s="348">
        <v>7.0200000000000002E-3</v>
      </c>
      <c r="D14" s="82" t="s">
        <v>1</v>
      </c>
      <c r="E14" s="349">
        <v>3.7969999999999997E-2</v>
      </c>
      <c r="F14" s="82" t="s">
        <v>1</v>
      </c>
      <c r="G14" s="349">
        <v>0.10584</v>
      </c>
      <c r="H14" s="82" t="s">
        <v>1</v>
      </c>
      <c r="I14" s="351">
        <v>0.23755999999999999</v>
      </c>
      <c r="J14" s="82" t="s">
        <v>1</v>
      </c>
      <c r="K14" s="349">
        <v>0.64639999999999997</v>
      </c>
      <c r="L14" s="82" t="s">
        <v>1</v>
      </c>
      <c r="M14" s="348">
        <v>1.28613</v>
      </c>
      <c r="N14" s="82" t="s">
        <v>1</v>
      </c>
      <c r="O14" s="349">
        <v>2.9321000000000002</v>
      </c>
      <c r="P14" s="82" t="s">
        <v>1</v>
      </c>
      <c r="Q14" s="349">
        <v>5.0549099999999996</v>
      </c>
      <c r="R14" s="82" t="s">
        <v>1</v>
      </c>
      <c r="S14" s="351">
        <v>9.5227000000000004</v>
      </c>
      <c r="T14" s="82" t="s">
        <v>1</v>
      </c>
      <c r="U14" s="82" t="s">
        <v>1</v>
      </c>
      <c r="V14" s="82" t="s">
        <v>1</v>
      </c>
      <c r="W14" s="457"/>
    </row>
    <row r="15" spans="1:23" ht="12" customHeight="1">
      <c r="A15" s="502">
        <v>4.5</v>
      </c>
      <c r="B15" s="502"/>
      <c r="C15" s="348">
        <v>5.2199999999999998E-3</v>
      </c>
      <c r="D15" s="82" t="s">
        <v>1</v>
      </c>
      <c r="E15" s="349">
        <v>2.9749999999999999E-2</v>
      </c>
      <c r="F15" s="82" t="s">
        <v>1</v>
      </c>
      <c r="G15" s="349">
        <v>8.6230000000000001E-2</v>
      </c>
      <c r="H15" s="82" t="s">
        <v>1</v>
      </c>
      <c r="I15" s="351">
        <v>0.19980000000000001</v>
      </c>
      <c r="J15" s="82" t="s">
        <v>1</v>
      </c>
      <c r="K15" s="349">
        <v>0.4955</v>
      </c>
      <c r="L15" s="82" t="s">
        <v>1</v>
      </c>
      <c r="M15" s="348">
        <v>0.96567000000000003</v>
      </c>
      <c r="N15" s="82" t="s">
        <v>1</v>
      </c>
      <c r="O15" s="349">
        <v>2.30308</v>
      </c>
      <c r="P15" s="82" t="s">
        <v>1</v>
      </c>
      <c r="Q15" s="349">
        <v>4.0090500000000002</v>
      </c>
      <c r="R15" s="82" t="s">
        <v>1</v>
      </c>
      <c r="S15" s="351">
        <v>7.8748899999999997</v>
      </c>
      <c r="T15" s="82" t="s">
        <v>1</v>
      </c>
      <c r="U15" s="82" t="s">
        <v>1</v>
      </c>
      <c r="V15" s="82" t="s">
        <v>1</v>
      </c>
      <c r="W15" s="457"/>
    </row>
    <row r="16" spans="1:23" ht="12.3" customHeight="1">
      <c r="A16" s="502">
        <v>5</v>
      </c>
      <c r="B16" s="502"/>
      <c r="C16" s="348">
        <v>4.5100000000000001E-3</v>
      </c>
      <c r="D16" s="82" t="s">
        <v>1</v>
      </c>
      <c r="E16" s="349">
        <v>2.7560000000000001E-2</v>
      </c>
      <c r="F16" s="82" t="s">
        <v>1</v>
      </c>
      <c r="G16" s="349">
        <v>7.492E-2</v>
      </c>
      <c r="H16" s="82" t="s">
        <v>1</v>
      </c>
      <c r="I16" s="351">
        <v>0.17088999999999999</v>
      </c>
      <c r="J16" s="82" t="s">
        <v>1</v>
      </c>
      <c r="K16" s="349">
        <v>0.40617999999999999</v>
      </c>
      <c r="L16" s="82" t="s">
        <v>1</v>
      </c>
      <c r="M16" s="348">
        <v>0.89359999999999995</v>
      </c>
      <c r="N16" s="82" t="s">
        <v>1</v>
      </c>
      <c r="O16" s="349">
        <v>1.9610799999999999</v>
      </c>
      <c r="P16" s="82" t="s">
        <v>1</v>
      </c>
      <c r="Q16" s="349">
        <v>3.5597699999999999</v>
      </c>
      <c r="R16" s="82" t="s">
        <v>1</v>
      </c>
      <c r="S16" s="351">
        <v>6.6604400000000004</v>
      </c>
      <c r="T16" s="82" t="s">
        <v>1</v>
      </c>
      <c r="U16" s="82" t="s">
        <v>1</v>
      </c>
      <c r="V16" s="82" t="s">
        <v>1</v>
      </c>
      <c r="W16" s="457"/>
    </row>
    <row r="17" spans="1:23" ht="12" customHeight="1">
      <c r="A17" s="502">
        <v>5.6</v>
      </c>
      <c r="B17" s="502"/>
      <c r="C17" s="348">
        <v>3.8400000000000001E-3</v>
      </c>
      <c r="D17" s="82" t="s">
        <v>1</v>
      </c>
      <c r="E17" s="349">
        <v>2.332E-2</v>
      </c>
      <c r="F17" s="82" t="s">
        <v>1</v>
      </c>
      <c r="G17" s="349">
        <v>6.4070000000000002E-2</v>
      </c>
      <c r="H17" s="82" t="s">
        <v>1</v>
      </c>
      <c r="I17" s="351">
        <v>0.14113999999999999</v>
      </c>
      <c r="J17" s="82" t="s">
        <v>1</v>
      </c>
      <c r="K17" s="349">
        <v>0.37470999999999999</v>
      </c>
      <c r="L17" s="82" t="s">
        <v>1</v>
      </c>
      <c r="M17" s="348">
        <v>0.75802999999999998</v>
      </c>
      <c r="N17" s="82" t="s">
        <v>1</v>
      </c>
      <c r="O17" s="349">
        <v>1.6575899999999999</v>
      </c>
      <c r="P17" s="82" t="s">
        <v>1</v>
      </c>
      <c r="Q17" s="349">
        <v>3.01084</v>
      </c>
      <c r="R17" s="82" t="s">
        <v>1</v>
      </c>
      <c r="S17" s="351">
        <v>5.5047300000000003</v>
      </c>
      <c r="T17" s="82" t="s">
        <v>1</v>
      </c>
      <c r="U17" s="82" t="s">
        <v>1</v>
      </c>
      <c r="V17" s="82" t="s">
        <v>1</v>
      </c>
      <c r="W17" s="457"/>
    </row>
    <row r="18" spans="1:23" ht="12.3" customHeight="1">
      <c r="A18" s="509" t="s">
        <v>519</v>
      </c>
      <c r="B18" s="509"/>
      <c r="C18" s="295">
        <v>0.06</v>
      </c>
      <c r="D18" s="82" t="s">
        <v>1</v>
      </c>
      <c r="E18" s="333">
        <v>4.4999999999999998E-2</v>
      </c>
      <c r="F18" s="82" t="s">
        <v>1</v>
      </c>
      <c r="G18" s="333">
        <v>0.1</v>
      </c>
      <c r="H18" s="82" t="s">
        <v>1</v>
      </c>
      <c r="I18" s="352">
        <v>0.1</v>
      </c>
      <c r="J18" s="82" t="s">
        <v>1</v>
      </c>
      <c r="K18" s="333">
        <v>0.28999999999999998</v>
      </c>
      <c r="L18" s="82" t="s">
        <v>1</v>
      </c>
      <c r="M18" s="295">
        <v>0.28999999999999998</v>
      </c>
      <c r="N18" s="82" t="s">
        <v>1</v>
      </c>
      <c r="O18" s="333">
        <v>0.69</v>
      </c>
      <c r="P18" s="82" t="s">
        <v>1</v>
      </c>
      <c r="Q18" s="333">
        <v>0.69</v>
      </c>
      <c r="R18" s="82" t="s">
        <v>1</v>
      </c>
      <c r="S18" s="352">
        <v>0.69</v>
      </c>
      <c r="T18" s="82" t="s">
        <v>1</v>
      </c>
      <c r="U18" s="82" t="s">
        <v>1</v>
      </c>
      <c r="V18" s="82" t="s">
        <v>1</v>
      </c>
      <c r="W18" s="461"/>
    </row>
    <row r="19" spans="1:23" ht="12.3" customHeight="1"/>
    <row r="20" spans="1:23" ht="12" customHeight="1">
      <c r="A20" s="502">
        <v>6.3</v>
      </c>
      <c r="B20" s="502"/>
      <c r="C20" s="335" t="s">
        <v>1</v>
      </c>
      <c r="D20" s="350">
        <v>1.4930000000000001E-2</v>
      </c>
      <c r="E20" s="350">
        <v>3.3799999999999997E-2</v>
      </c>
      <c r="F20" s="337" t="s">
        <v>1</v>
      </c>
      <c r="G20" s="350">
        <v>9.2090000000000005E-2</v>
      </c>
      <c r="H20" s="337" t="s">
        <v>1</v>
      </c>
      <c r="I20" s="354">
        <v>0.20124</v>
      </c>
      <c r="J20" s="337" t="s">
        <v>1</v>
      </c>
      <c r="K20" s="350">
        <v>0.52102999999999999</v>
      </c>
      <c r="L20" s="337" t="s">
        <v>1</v>
      </c>
      <c r="M20" s="353">
        <v>1.10195</v>
      </c>
      <c r="N20" s="337" t="s">
        <v>1</v>
      </c>
      <c r="O20" s="350">
        <v>2.6945000000000001</v>
      </c>
      <c r="P20" s="337" t="s">
        <v>1</v>
      </c>
      <c r="Q20" s="350">
        <v>5.3024899999999997</v>
      </c>
      <c r="R20" s="337" t="s">
        <v>1</v>
      </c>
      <c r="S20" s="354">
        <v>10.62628</v>
      </c>
      <c r="T20" s="337" t="s">
        <v>1</v>
      </c>
      <c r="U20" s="350">
        <v>14.12289</v>
      </c>
      <c r="V20" s="337" t="s">
        <v>1</v>
      </c>
      <c r="W20" s="462" t="s">
        <v>71</v>
      </c>
    </row>
    <row r="21" spans="1:23" ht="12.3" customHeight="1">
      <c r="A21" s="502">
        <v>7.1</v>
      </c>
      <c r="B21" s="502"/>
      <c r="C21" s="335" t="s">
        <v>1</v>
      </c>
      <c r="D21" s="350">
        <v>1.34E-2</v>
      </c>
      <c r="E21" s="350">
        <v>2.8119999999999999E-2</v>
      </c>
      <c r="F21" s="337" t="s">
        <v>1</v>
      </c>
      <c r="G21" s="350">
        <v>7.5630000000000003E-2</v>
      </c>
      <c r="H21" s="337" t="s">
        <v>1</v>
      </c>
      <c r="I21" s="354">
        <v>0.16652</v>
      </c>
      <c r="J21" s="337" t="s">
        <v>1</v>
      </c>
      <c r="K21" s="350">
        <v>0.45488000000000001</v>
      </c>
      <c r="L21" s="337" t="s">
        <v>1</v>
      </c>
      <c r="M21" s="353">
        <v>0.95996999999999999</v>
      </c>
      <c r="N21" s="337" t="s">
        <v>1</v>
      </c>
      <c r="O21" s="350">
        <v>2.3658700000000001</v>
      </c>
      <c r="P21" s="350">
        <v>2.93445</v>
      </c>
      <c r="Q21" s="350">
        <v>4.3815200000000001</v>
      </c>
      <c r="R21" s="350">
        <v>5.7942499999999999</v>
      </c>
      <c r="S21" s="354">
        <v>9.3288899999999995</v>
      </c>
      <c r="T21" s="350">
        <v>11.42554</v>
      </c>
      <c r="U21" s="350">
        <v>12.30855</v>
      </c>
      <c r="V21" s="350">
        <v>15.249650000000001</v>
      </c>
      <c r="W21" s="463"/>
    </row>
    <row r="22" spans="1:23" ht="12" customHeight="1">
      <c r="A22" s="502">
        <v>8</v>
      </c>
      <c r="B22" s="502"/>
      <c r="C22" s="335" t="s">
        <v>1</v>
      </c>
      <c r="D22" s="350">
        <v>1.1379999999999999E-2</v>
      </c>
      <c r="E22" s="350">
        <v>2.503E-2</v>
      </c>
      <c r="F22" s="350">
        <v>3.9690000000000003E-2</v>
      </c>
      <c r="G22" s="350">
        <v>6.6299999999999998E-2</v>
      </c>
      <c r="H22" s="350">
        <v>0.11062</v>
      </c>
      <c r="I22" s="354">
        <v>0.14591999999999999</v>
      </c>
      <c r="J22" s="350">
        <v>0.23956</v>
      </c>
      <c r="K22" s="350">
        <v>0.39684000000000003</v>
      </c>
      <c r="L22" s="350">
        <v>0.63968000000000003</v>
      </c>
      <c r="M22" s="353">
        <v>0.83523000000000003</v>
      </c>
      <c r="N22" s="350">
        <v>1.2889699999999999</v>
      </c>
      <c r="O22" s="350">
        <v>2.0749599999999999</v>
      </c>
      <c r="P22" s="350">
        <v>2.5627599999999999</v>
      </c>
      <c r="Q22" s="350">
        <v>3.85101</v>
      </c>
      <c r="R22" s="350">
        <v>4.7484299999999999</v>
      </c>
      <c r="S22" s="354">
        <v>8.1765600000000003</v>
      </c>
      <c r="T22" s="350">
        <v>9.9802900000000001</v>
      </c>
      <c r="U22" s="350">
        <v>10.71777</v>
      </c>
      <c r="V22" s="350">
        <v>13.22687</v>
      </c>
      <c r="W22" s="463"/>
    </row>
    <row r="23" spans="1:23" ht="12.3" customHeight="1">
      <c r="A23" s="502">
        <v>9</v>
      </c>
      <c r="B23" s="502"/>
      <c r="C23" s="335" t="s">
        <v>1</v>
      </c>
      <c r="D23" s="350">
        <v>1.0200000000000001E-2</v>
      </c>
      <c r="E23" s="350">
        <v>2.2270000000000002E-2</v>
      </c>
      <c r="F23" s="350">
        <v>3.2599999999999997E-2</v>
      </c>
      <c r="G23" s="350">
        <v>5.8049999999999997E-2</v>
      </c>
      <c r="H23" s="350">
        <v>8.9459999999999998E-2</v>
      </c>
      <c r="I23" s="354">
        <v>0.12770999999999999</v>
      </c>
      <c r="J23" s="350">
        <v>0.19511000000000001</v>
      </c>
      <c r="K23" s="350">
        <v>0.32235999999999998</v>
      </c>
      <c r="L23" s="350">
        <v>0.55210999999999999</v>
      </c>
      <c r="M23" s="353">
        <v>0.72509000000000001</v>
      </c>
      <c r="N23" s="350">
        <v>1.11239</v>
      </c>
      <c r="O23" s="350">
        <v>1.8161099999999999</v>
      </c>
      <c r="P23" s="350">
        <v>2.2355800000000001</v>
      </c>
      <c r="Q23" s="350">
        <v>3.3758699999999999</v>
      </c>
      <c r="R23" s="350">
        <v>4.1506999999999996</v>
      </c>
      <c r="S23" s="354">
        <v>7.1470599999999997</v>
      </c>
      <c r="T23" s="350">
        <v>8.7041900000000005</v>
      </c>
      <c r="U23" s="350">
        <v>9.3158399999999997</v>
      </c>
      <c r="V23" s="350">
        <v>11.461600000000001</v>
      </c>
      <c r="W23" s="463"/>
    </row>
    <row r="24" spans="1:23" ht="12" customHeight="1">
      <c r="A24" s="500">
        <v>10</v>
      </c>
      <c r="B24" s="500"/>
      <c r="C24" s="335" t="s">
        <v>1</v>
      </c>
      <c r="D24" s="350">
        <v>8.6E-3</v>
      </c>
      <c r="E24" s="350">
        <v>1.857E-2</v>
      </c>
      <c r="F24" s="350">
        <v>2.877E-2</v>
      </c>
      <c r="G24" s="350">
        <v>5.058E-2</v>
      </c>
      <c r="H24" s="350">
        <v>7.7590000000000006E-2</v>
      </c>
      <c r="I24" s="354">
        <v>0.11101999999999999</v>
      </c>
      <c r="J24" s="350">
        <v>0.16927</v>
      </c>
      <c r="K24" s="350">
        <v>0.27966999999999997</v>
      </c>
      <c r="L24" s="350">
        <v>0.47605999999999998</v>
      </c>
      <c r="M24" s="353">
        <v>0.62734999999999996</v>
      </c>
      <c r="N24" s="350">
        <v>0.9587</v>
      </c>
      <c r="O24" s="350">
        <v>1.58473</v>
      </c>
      <c r="P24" s="350">
        <v>1.9462200000000001</v>
      </c>
      <c r="Q24" s="350">
        <v>2.94834</v>
      </c>
      <c r="R24" s="350">
        <v>3.6189</v>
      </c>
      <c r="S24" s="354">
        <v>6.2785700000000002</v>
      </c>
      <c r="T24" s="350">
        <v>7.57118</v>
      </c>
      <c r="U24" s="350">
        <v>8.1494599999999995</v>
      </c>
      <c r="V24" s="350">
        <v>9.9137400000000007</v>
      </c>
      <c r="W24" s="463"/>
    </row>
    <row r="25" spans="1:23" ht="12.3" customHeight="1">
      <c r="A25" s="502">
        <v>11.2</v>
      </c>
      <c r="B25" s="502"/>
      <c r="C25" s="335" t="s">
        <v>1</v>
      </c>
      <c r="D25" s="350">
        <v>7.5700000000000003E-3</v>
      </c>
      <c r="E25" s="350">
        <v>1.619E-2</v>
      </c>
      <c r="F25" s="350">
        <v>2.538E-2</v>
      </c>
      <c r="G25" s="350">
        <v>4.4569999999999999E-2</v>
      </c>
      <c r="H25" s="350">
        <v>6.7210000000000006E-2</v>
      </c>
      <c r="I25" s="354">
        <v>9.5060000000000006E-2</v>
      </c>
      <c r="J25" s="350">
        <v>0.14665</v>
      </c>
      <c r="K25" s="350">
        <v>0.25168000000000001</v>
      </c>
      <c r="L25" s="350">
        <v>0.37981999999999999</v>
      </c>
      <c r="M25" s="353">
        <v>0.55925000000000002</v>
      </c>
      <c r="N25" s="350">
        <v>0.82433000000000001</v>
      </c>
      <c r="O25" s="350">
        <v>1.3770800000000001</v>
      </c>
      <c r="P25" s="350">
        <v>1.68919</v>
      </c>
      <c r="Q25" s="350">
        <v>2.56216</v>
      </c>
      <c r="R25" s="350">
        <v>3.1436799999999998</v>
      </c>
      <c r="S25" s="354">
        <v>5.52433</v>
      </c>
      <c r="T25" s="350">
        <v>6.6213199999999999</v>
      </c>
      <c r="U25" s="350">
        <v>7.1478900000000003</v>
      </c>
      <c r="V25" s="350">
        <v>8.6326499999999999</v>
      </c>
      <c r="W25" s="463"/>
    </row>
    <row r="26" spans="1:23" ht="12" customHeight="1">
      <c r="A26" s="502">
        <v>12.5</v>
      </c>
      <c r="B26" s="502"/>
      <c r="C26" s="335" t="s">
        <v>1</v>
      </c>
      <c r="D26" s="350">
        <v>5.2700000000000004E-3</v>
      </c>
      <c r="E26" s="350">
        <v>1.187E-2</v>
      </c>
      <c r="F26" s="350">
        <v>2.0889999999999999E-2</v>
      </c>
      <c r="G26" s="350">
        <v>3.3790000000000001E-2</v>
      </c>
      <c r="H26" s="350">
        <v>5.7939999999999998E-2</v>
      </c>
      <c r="I26" s="354">
        <v>7.2090000000000001E-2</v>
      </c>
      <c r="J26" s="350">
        <v>0.12623999999999999</v>
      </c>
      <c r="K26" s="350">
        <v>0.19234000000000001</v>
      </c>
      <c r="L26" s="350">
        <v>0.32552999999999999</v>
      </c>
      <c r="M26" s="353">
        <v>0.42549999999999999</v>
      </c>
      <c r="N26" s="350">
        <v>0.70635999999999999</v>
      </c>
      <c r="O26" s="350">
        <v>1.14218</v>
      </c>
      <c r="P26" s="350">
        <v>1.4600599999999999</v>
      </c>
      <c r="Q26" s="350">
        <v>2.04515</v>
      </c>
      <c r="R26" s="350">
        <v>2.7174800000000001</v>
      </c>
      <c r="S26" s="354">
        <v>4.4485200000000003</v>
      </c>
      <c r="T26" s="350">
        <v>5.8013899999999996</v>
      </c>
      <c r="U26" s="350">
        <v>5.6757900000000001</v>
      </c>
      <c r="V26" s="350">
        <v>7.5384799999999998</v>
      </c>
      <c r="W26" s="463"/>
    </row>
    <row r="27" spans="1:23" ht="12.3" customHeight="1">
      <c r="A27" s="500">
        <v>14</v>
      </c>
      <c r="B27" s="500"/>
      <c r="C27" s="335" t="s">
        <v>1</v>
      </c>
      <c r="D27" s="350">
        <v>4.5300000000000002E-3</v>
      </c>
      <c r="E27" s="350">
        <v>1.013E-2</v>
      </c>
      <c r="F27" s="350">
        <v>1.8089999999999998E-2</v>
      </c>
      <c r="G27" s="350">
        <v>2.691E-2</v>
      </c>
      <c r="H27" s="350">
        <v>5.0630000000000001E-2</v>
      </c>
      <c r="I27" s="354">
        <v>6.1019999999999998E-2</v>
      </c>
      <c r="J27" s="350">
        <v>0.10716000000000001</v>
      </c>
      <c r="K27" s="350">
        <v>0.16347999999999999</v>
      </c>
      <c r="L27" s="350">
        <v>0.29071999999999998</v>
      </c>
      <c r="M27" s="353">
        <v>0.36723</v>
      </c>
      <c r="N27" s="350">
        <v>0.62499000000000005</v>
      </c>
      <c r="O27" s="350">
        <v>0.97936999999999996</v>
      </c>
      <c r="P27" s="350">
        <v>1.20991</v>
      </c>
      <c r="Q27" s="350">
        <v>1.76837</v>
      </c>
      <c r="R27" s="350">
        <v>2.1656599999999999</v>
      </c>
      <c r="S27" s="354">
        <v>3.81731</v>
      </c>
      <c r="T27" s="350">
        <v>4.67</v>
      </c>
      <c r="U27" s="350">
        <v>4.8601200000000002</v>
      </c>
      <c r="V27" s="350">
        <v>5.9880199999999997</v>
      </c>
      <c r="W27" s="463"/>
    </row>
    <row r="28" spans="1:23" ht="12" customHeight="1">
      <c r="A28" s="500">
        <v>16</v>
      </c>
      <c r="B28" s="500"/>
      <c r="C28" s="335" t="s">
        <v>1</v>
      </c>
      <c r="D28" s="350">
        <v>3.8400000000000001E-3</v>
      </c>
      <c r="E28" s="350">
        <v>8.5299999999999994E-3</v>
      </c>
      <c r="F28" s="350">
        <v>1.34E-2</v>
      </c>
      <c r="G28" s="350">
        <v>2.264E-2</v>
      </c>
      <c r="H28" s="350">
        <v>3.8719999999999997E-2</v>
      </c>
      <c r="I28" s="354">
        <v>5.1330000000000001E-2</v>
      </c>
      <c r="J28" s="350">
        <v>8.1589999999999996E-2</v>
      </c>
      <c r="K28" s="350">
        <v>0.13633000000000001</v>
      </c>
      <c r="L28" s="350">
        <v>0.22356999999999999</v>
      </c>
      <c r="M28" s="353">
        <v>0.31417</v>
      </c>
      <c r="N28" s="350">
        <v>0.47348000000000001</v>
      </c>
      <c r="O28" s="350">
        <v>0.82110000000000005</v>
      </c>
      <c r="P28" s="350">
        <v>1.03247</v>
      </c>
      <c r="Q28" s="350">
        <v>1.51448</v>
      </c>
      <c r="R28" s="350">
        <v>1.8645700000000001</v>
      </c>
      <c r="S28" s="354">
        <v>3.2398099999999999</v>
      </c>
      <c r="T28" s="350">
        <v>3.9919699999999998</v>
      </c>
      <c r="U28" s="350">
        <v>4.1252599999999999</v>
      </c>
      <c r="V28" s="350">
        <v>5.1063499999999999</v>
      </c>
      <c r="W28" s="463"/>
    </row>
    <row r="29" spans="1:23" ht="12.3" customHeight="1">
      <c r="A29" s="500">
        <v>18</v>
      </c>
      <c r="B29" s="500"/>
      <c r="C29" s="335" t="s">
        <v>1</v>
      </c>
      <c r="D29" s="350">
        <v>3.2000000000000002E-3</v>
      </c>
      <c r="E29" s="350">
        <v>7.5799999999999999E-3</v>
      </c>
      <c r="F29" s="350">
        <v>1.136E-2</v>
      </c>
      <c r="G29" s="350">
        <v>2.0049999999999998E-2</v>
      </c>
      <c r="H29" s="350">
        <v>3.0439999999999998E-2</v>
      </c>
      <c r="I29" s="354">
        <v>4.385E-2</v>
      </c>
      <c r="J29" s="350">
        <v>6.8519999999999998E-2</v>
      </c>
      <c r="K29" s="350">
        <v>0.12189</v>
      </c>
      <c r="L29" s="350">
        <v>0.18812999999999999</v>
      </c>
      <c r="M29" s="353">
        <v>0.28054000000000001</v>
      </c>
      <c r="N29" s="350">
        <v>0.40553</v>
      </c>
      <c r="O29" s="350">
        <v>0.68720000000000003</v>
      </c>
      <c r="P29" s="350">
        <v>0.86324000000000001</v>
      </c>
      <c r="Q29" s="350">
        <v>1.2188099999999999</v>
      </c>
      <c r="R29" s="350">
        <v>1.5901000000000001</v>
      </c>
      <c r="S29" s="354">
        <v>2.59172</v>
      </c>
      <c r="T29" s="350">
        <v>3.3752599999999999</v>
      </c>
      <c r="U29" s="350">
        <v>3.2702800000000001</v>
      </c>
      <c r="V29" s="350">
        <v>4.3162099999999999</v>
      </c>
      <c r="W29" s="463"/>
    </row>
    <row r="30" spans="1:23" ht="12" customHeight="1">
      <c r="A30" s="500">
        <v>20</v>
      </c>
      <c r="B30" s="500"/>
      <c r="C30" s="335" t="s">
        <v>1</v>
      </c>
      <c r="D30" s="350">
        <v>2.7599999999999999E-3</v>
      </c>
      <c r="E30" s="350">
        <v>6.4900000000000001E-3</v>
      </c>
      <c r="F30" s="350">
        <v>9.4900000000000002E-3</v>
      </c>
      <c r="G30" s="350">
        <v>1.712E-2</v>
      </c>
      <c r="H30" s="350">
        <v>2.5420000000000002E-2</v>
      </c>
      <c r="I30" s="354">
        <v>4.0390000000000002E-2</v>
      </c>
      <c r="J30" s="350">
        <v>5.722E-2</v>
      </c>
      <c r="K30" s="350">
        <v>0.1046</v>
      </c>
      <c r="L30" s="350">
        <v>0.15545999999999999</v>
      </c>
      <c r="M30" s="353">
        <v>0.23699000000000001</v>
      </c>
      <c r="N30" s="350">
        <v>0.34427999999999997</v>
      </c>
      <c r="O30" s="350">
        <v>0.56006999999999996</v>
      </c>
      <c r="P30" s="350">
        <v>0.72006999999999999</v>
      </c>
      <c r="Q30" s="350">
        <v>1.10345</v>
      </c>
      <c r="R30" s="350">
        <v>1.27695</v>
      </c>
      <c r="S30" s="354">
        <v>2.2454800000000001</v>
      </c>
      <c r="T30" s="350">
        <v>2.69238</v>
      </c>
      <c r="U30" s="350">
        <v>2.8140100000000001</v>
      </c>
      <c r="V30" s="350">
        <v>3.4121899999999998</v>
      </c>
      <c r="W30" s="463"/>
    </row>
    <row r="31" spans="1:23" ht="12.3" customHeight="1">
      <c r="A31" s="502">
        <v>22.4</v>
      </c>
      <c r="B31" s="502"/>
      <c r="C31" s="335" t="s">
        <v>1</v>
      </c>
      <c r="D31" s="350">
        <v>2.3E-3</v>
      </c>
      <c r="E31" s="350">
        <v>5.4999999999999997E-3</v>
      </c>
      <c r="F31" s="350">
        <v>8.3400000000000002E-3</v>
      </c>
      <c r="G31" s="350">
        <v>1.5779999999999999E-2</v>
      </c>
      <c r="H31" s="350">
        <v>2.2270000000000002E-2</v>
      </c>
      <c r="I31" s="354">
        <v>3.4139999999999997E-2</v>
      </c>
      <c r="J31" s="350">
        <v>4.8379999999999999E-2</v>
      </c>
      <c r="K31" s="350">
        <v>8.8400000000000006E-2</v>
      </c>
      <c r="L31" s="350">
        <v>0.13769000000000001</v>
      </c>
      <c r="M31" s="335" t="s">
        <v>1</v>
      </c>
      <c r="N31" s="350">
        <v>0.30626999999999999</v>
      </c>
      <c r="O31" s="337" t="s">
        <v>1</v>
      </c>
      <c r="P31" s="350">
        <v>0.58428999999999998</v>
      </c>
      <c r="Q31" s="337" t="s">
        <v>1</v>
      </c>
      <c r="R31" s="350">
        <v>1.1551199999999999</v>
      </c>
      <c r="S31" s="357" t="s">
        <v>1</v>
      </c>
      <c r="T31" s="350">
        <v>2.3266200000000001</v>
      </c>
      <c r="U31" s="337" t="s">
        <v>1</v>
      </c>
      <c r="V31" s="350">
        <v>2.9283999999999999</v>
      </c>
      <c r="W31" s="463"/>
    </row>
    <row r="32" spans="1:23" ht="12" customHeight="1">
      <c r="A32" s="500">
        <v>25</v>
      </c>
      <c r="B32" s="500"/>
      <c r="C32" s="335" t="s">
        <v>1</v>
      </c>
      <c r="D32" s="337" t="s">
        <v>1</v>
      </c>
      <c r="E32" s="337" t="s">
        <v>1</v>
      </c>
      <c r="F32" s="350">
        <v>7.1000000000000004E-3</v>
      </c>
      <c r="G32" s="337" t="s">
        <v>1</v>
      </c>
      <c r="H32" s="350">
        <v>1.8880000000000001E-2</v>
      </c>
      <c r="I32" s="357" t="s">
        <v>1</v>
      </c>
      <c r="J32" s="350">
        <v>4.4420000000000001E-2</v>
      </c>
      <c r="K32" s="337" t="s">
        <v>1</v>
      </c>
      <c r="L32" s="350">
        <v>0.11733</v>
      </c>
      <c r="M32" s="335" t="s">
        <v>1</v>
      </c>
      <c r="N32" s="350">
        <v>0.25717000000000001</v>
      </c>
      <c r="O32" s="337" t="s">
        <v>1</v>
      </c>
      <c r="P32" s="337" t="s">
        <v>1</v>
      </c>
      <c r="Q32" s="337" t="s">
        <v>1</v>
      </c>
      <c r="R32" s="337" t="s">
        <v>1</v>
      </c>
      <c r="S32" s="357" t="s">
        <v>1</v>
      </c>
      <c r="T32" s="337" t="s">
        <v>1</v>
      </c>
      <c r="U32" s="337" t="s">
        <v>1</v>
      </c>
      <c r="V32" s="337" t="s">
        <v>1</v>
      </c>
      <c r="W32" s="463"/>
    </row>
    <row r="33" spans="1:23" ht="12.3" customHeight="1">
      <c r="A33" s="500">
        <v>28</v>
      </c>
      <c r="B33" s="500"/>
      <c r="C33" s="335" t="s">
        <v>1</v>
      </c>
      <c r="D33" s="337" t="s">
        <v>1</v>
      </c>
      <c r="E33" s="337" t="s">
        <v>1</v>
      </c>
      <c r="F33" s="350">
        <v>5.9800000000000001E-3</v>
      </c>
      <c r="G33" s="337" t="s">
        <v>1</v>
      </c>
      <c r="H33" s="350">
        <v>1.7340000000000001E-2</v>
      </c>
      <c r="I33" s="357" t="s">
        <v>1</v>
      </c>
      <c r="J33" s="350">
        <v>3.7280000000000001E-2</v>
      </c>
      <c r="K33" s="337" t="s">
        <v>1</v>
      </c>
      <c r="L33" s="350">
        <v>9.8419999999999994E-2</v>
      </c>
      <c r="M33" s="335" t="s">
        <v>1</v>
      </c>
      <c r="N33" s="337" t="s">
        <v>1</v>
      </c>
      <c r="O33" s="337" t="s">
        <v>1</v>
      </c>
      <c r="P33" s="337" t="s">
        <v>1</v>
      </c>
      <c r="Q33" s="337" t="s">
        <v>1</v>
      </c>
      <c r="R33" s="337" t="s">
        <v>1</v>
      </c>
      <c r="S33" s="357" t="s">
        <v>1</v>
      </c>
      <c r="T33" s="337" t="s">
        <v>1</v>
      </c>
      <c r="U33" s="337" t="s">
        <v>1</v>
      </c>
      <c r="V33" s="337" t="s">
        <v>1</v>
      </c>
      <c r="W33" s="463"/>
    </row>
    <row r="34" spans="1:23" ht="12" customHeight="1">
      <c r="A34" s="511" t="s">
        <v>519</v>
      </c>
      <c r="B34" s="511"/>
      <c r="C34" s="335" t="s">
        <v>1</v>
      </c>
      <c r="D34" s="338">
        <v>6.0000000000000001E-3</v>
      </c>
      <c r="E34" s="338">
        <v>0.01</v>
      </c>
      <c r="F34" s="338">
        <v>0.01</v>
      </c>
      <c r="G34" s="338">
        <v>4.4999999999999998E-2</v>
      </c>
      <c r="H34" s="338">
        <v>4.4999999999999998E-2</v>
      </c>
      <c r="I34" s="359">
        <v>4.4999999999999998E-2</v>
      </c>
      <c r="J34" s="338">
        <v>4.4999999999999998E-2</v>
      </c>
      <c r="K34" s="338">
        <v>0.1</v>
      </c>
      <c r="L34" s="338">
        <v>0.1</v>
      </c>
      <c r="M34" s="338" t="s">
        <v>560</v>
      </c>
      <c r="N34" s="338">
        <v>0.28999999999999998</v>
      </c>
      <c r="O34" s="338">
        <v>0.28999999999999998</v>
      </c>
      <c r="P34" s="338">
        <v>0.28999999999999998</v>
      </c>
      <c r="Q34" s="338">
        <v>0.69</v>
      </c>
      <c r="R34" s="338">
        <v>0.69</v>
      </c>
      <c r="S34" s="359">
        <v>0.69</v>
      </c>
      <c r="T34" s="338">
        <v>0.69</v>
      </c>
      <c r="U34" s="338">
        <v>0.69</v>
      </c>
      <c r="V34" s="338">
        <v>0.69</v>
      </c>
      <c r="W34" s="463"/>
    </row>
    <row r="35" spans="1:23" ht="12" customHeight="1"/>
    <row r="36" spans="1:23" ht="12.3" customHeight="1">
      <c r="A36" s="502">
        <v>22.4</v>
      </c>
      <c r="B36" s="502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8">
        <v>0.28093000000000001</v>
      </c>
      <c r="N36" s="82" t="s">
        <v>1</v>
      </c>
      <c r="O36" s="349">
        <v>0.74160999999999999</v>
      </c>
      <c r="P36" s="82" t="s">
        <v>1</v>
      </c>
      <c r="Q36" s="349">
        <v>0.8165</v>
      </c>
      <c r="R36" s="82" t="s">
        <v>1</v>
      </c>
      <c r="S36" s="351">
        <v>1.65788</v>
      </c>
      <c r="T36" s="82" t="s">
        <v>1</v>
      </c>
      <c r="U36" s="349">
        <v>3.7341000000000002</v>
      </c>
      <c r="V36" s="82" t="s">
        <v>1</v>
      </c>
      <c r="W36" s="456" t="s">
        <v>72</v>
      </c>
    </row>
    <row r="37" spans="1:23" ht="12" customHeight="1">
      <c r="A37" s="500">
        <v>25</v>
      </c>
      <c r="B37" s="500"/>
      <c r="C37" s="179" t="s">
        <v>1</v>
      </c>
      <c r="D37" s="82" t="s">
        <v>1</v>
      </c>
      <c r="E37" s="349">
        <v>6.45E-3</v>
      </c>
      <c r="F37" s="82" t="s">
        <v>1</v>
      </c>
      <c r="G37" s="349">
        <v>1.6289999999999999E-2</v>
      </c>
      <c r="H37" s="82" t="s">
        <v>1</v>
      </c>
      <c r="I37" s="351">
        <v>3.9100000000000003E-2</v>
      </c>
      <c r="J37" s="82" t="s">
        <v>1</v>
      </c>
      <c r="K37" s="349">
        <v>0.10272000000000001</v>
      </c>
      <c r="L37" s="82" t="s">
        <v>1</v>
      </c>
      <c r="M37" s="348">
        <v>0.22706000000000001</v>
      </c>
      <c r="N37" s="82" t="s">
        <v>1</v>
      </c>
      <c r="O37" s="349">
        <v>0.60097999999999996</v>
      </c>
      <c r="P37" s="349">
        <v>0.76346000000000003</v>
      </c>
      <c r="Q37" s="349">
        <v>0.65739000000000003</v>
      </c>
      <c r="R37" s="349">
        <v>0.85892999999999997</v>
      </c>
      <c r="S37" s="351">
        <v>1.33246</v>
      </c>
      <c r="T37" s="349">
        <v>1.7271099999999999</v>
      </c>
      <c r="U37" s="349">
        <v>3.0325799999999998</v>
      </c>
      <c r="V37" s="349">
        <v>3.82925</v>
      </c>
      <c r="W37" s="457"/>
    </row>
    <row r="38" spans="1:23" ht="12.3" customHeight="1">
      <c r="A38" s="500">
        <v>28</v>
      </c>
      <c r="B38" s="500"/>
      <c r="C38" s="179" t="s">
        <v>1</v>
      </c>
      <c r="D38" s="82" t="s">
        <v>1</v>
      </c>
      <c r="E38" s="349">
        <v>5.3600000000000002E-3</v>
      </c>
      <c r="F38" s="82" t="s">
        <v>1</v>
      </c>
      <c r="G38" s="349">
        <v>1.447E-2</v>
      </c>
      <c r="H38" s="82" t="s">
        <v>1</v>
      </c>
      <c r="I38" s="351">
        <v>3.2370000000000003E-2</v>
      </c>
      <c r="J38" s="82" t="s">
        <v>1</v>
      </c>
      <c r="K38" s="349">
        <v>8.3330000000000001E-2</v>
      </c>
      <c r="L38" s="82" t="s">
        <v>1</v>
      </c>
      <c r="M38" s="348">
        <v>0.18629000000000001</v>
      </c>
      <c r="N38" s="349">
        <v>0.29677999999999999</v>
      </c>
      <c r="O38" s="349">
        <v>0.52263000000000004</v>
      </c>
      <c r="P38" s="349">
        <v>0.61731999999999998</v>
      </c>
      <c r="Q38" s="349">
        <v>0.56882999999999995</v>
      </c>
      <c r="R38" s="349">
        <v>0.68913000000000002</v>
      </c>
      <c r="S38" s="351">
        <v>1.1517299999999999</v>
      </c>
      <c r="T38" s="349">
        <v>1.38384</v>
      </c>
      <c r="U38" s="349">
        <v>2.6382099999999999</v>
      </c>
      <c r="V38" s="349">
        <v>3.1038899999999998</v>
      </c>
      <c r="W38" s="457"/>
    </row>
    <row r="39" spans="1:23" ht="12" customHeight="1">
      <c r="A39" s="502">
        <v>31.5</v>
      </c>
      <c r="B39" s="502"/>
      <c r="C39" s="179" t="s">
        <v>1</v>
      </c>
      <c r="D39" s="82" t="s">
        <v>1</v>
      </c>
      <c r="E39" s="349">
        <v>4.7400000000000003E-3</v>
      </c>
      <c r="F39" s="349">
        <v>6.8199999999999997E-3</v>
      </c>
      <c r="G39" s="349">
        <v>1.209E-2</v>
      </c>
      <c r="H39" s="349">
        <v>1.7340000000000001E-2</v>
      </c>
      <c r="I39" s="351">
        <v>2.8740000000000002E-2</v>
      </c>
      <c r="J39" s="349">
        <v>4.1419999999999998E-2</v>
      </c>
      <c r="K39" s="349">
        <v>7.2419999999999998E-2</v>
      </c>
      <c r="L39" s="349">
        <v>0.1103</v>
      </c>
      <c r="M39" s="348">
        <v>0.16244</v>
      </c>
      <c r="N39" s="349">
        <v>0.23899000000000001</v>
      </c>
      <c r="O39" s="349">
        <v>0.45433000000000001</v>
      </c>
      <c r="P39" s="349">
        <v>0.53600999999999999</v>
      </c>
      <c r="Q39" s="349">
        <v>0.49253000000000002</v>
      </c>
      <c r="R39" s="349">
        <v>0.59482999999999997</v>
      </c>
      <c r="S39" s="351">
        <v>0.99456999999999995</v>
      </c>
      <c r="T39" s="349">
        <v>1.1936100000000001</v>
      </c>
      <c r="U39" s="349">
        <v>2.2919399999999999</v>
      </c>
      <c r="V39" s="349">
        <v>2.6967300000000001</v>
      </c>
      <c r="W39" s="457"/>
    </row>
    <row r="40" spans="1:23" ht="12.3" customHeight="1">
      <c r="A40" s="502">
        <v>35.5</v>
      </c>
      <c r="B40" s="502"/>
      <c r="C40" s="179" t="s">
        <v>1</v>
      </c>
      <c r="D40" s="82" t="s">
        <v>1</v>
      </c>
      <c r="E40" s="349">
        <v>4.1799999999999997E-3</v>
      </c>
      <c r="F40" s="349">
        <v>5.6499999999999996E-3</v>
      </c>
      <c r="G40" s="349">
        <v>1.0699999999999999E-2</v>
      </c>
      <c r="H40" s="349">
        <v>1.536E-2</v>
      </c>
      <c r="I40" s="351">
        <v>2.5499999999999998E-2</v>
      </c>
      <c r="J40" s="349">
        <v>3.4130000000000001E-2</v>
      </c>
      <c r="K40" s="349">
        <v>6.2839999999999993E-2</v>
      </c>
      <c r="L40" s="349">
        <v>8.8980000000000004E-2</v>
      </c>
      <c r="M40" s="348">
        <v>0.14149</v>
      </c>
      <c r="N40" s="349">
        <v>0.19520000000000001</v>
      </c>
      <c r="O40" s="349">
        <v>0.36743999999999999</v>
      </c>
      <c r="P40" s="349">
        <v>0.46522999999999998</v>
      </c>
      <c r="Q40" s="349">
        <v>0.39559</v>
      </c>
      <c r="R40" s="349">
        <v>0.51371</v>
      </c>
      <c r="S40" s="351">
        <v>0.85729999999999995</v>
      </c>
      <c r="T40" s="349">
        <v>1.0285</v>
      </c>
      <c r="U40" s="349">
        <v>1.98651</v>
      </c>
      <c r="V40" s="349">
        <v>2.33968</v>
      </c>
      <c r="W40" s="457"/>
    </row>
    <row r="41" spans="1:23" ht="12" customHeight="1">
      <c r="A41" s="500">
        <v>40</v>
      </c>
      <c r="B41" s="500"/>
      <c r="C41" s="179" t="s">
        <v>1</v>
      </c>
      <c r="D41" s="82" t="s">
        <v>1</v>
      </c>
      <c r="E41" s="349">
        <v>3.4299999999999999E-3</v>
      </c>
      <c r="F41" s="349">
        <v>4.9800000000000001E-3</v>
      </c>
      <c r="G41" s="349">
        <v>8.8800000000000007E-3</v>
      </c>
      <c r="H41" s="349">
        <v>1.278E-2</v>
      </c>
      <c r="I41" s="351">
        <v>2.129E-2</v>
      </c>
      <c r="J41" s="349">
        <v>3.0210000000000001E-2</v>
      </c>
      <c r="K41" s="349">
        <v>5.4399999999999997E-2</v>
      </c>
      <c r="L41" s="349">
        <v>7.7039999999999997E-2</v>
      </c>
      <c r="M41" s="348">
        <v>0.12303</v>
      </c>
      <c r="N41" s="349">
        <v>0.16971</v>
      </c>
      <c r="O41" s="349">
        <v>0.31813999999999998</v>
      </c>
      <c r="P41" s="349">
        <v>0.37536000000000003</v>
      </c>
      <c r="Q41" s="349">
        <v>0.34093000000000001</v>
      </c>
      <c r="R41" s="349">
        <v>0.41097</v>
      </c>
      <c r="S41" s="351">
        <v>0.73692000000000002</v>
      </c>
      <c r="T41" s="349">
        <v>0.88456999999999997</v>
      </c>
      <c r="U41" s="349">
        <v>1.7159899999999999</v>
      </c>
      <c r="V41" s="349">
        <v>2.0251800000000002</v>
      </c>
      <c r="W41" s="457"/>
    </row>
    <row r="42" spans="1:23" ht="12.3" customHeight="1">
      <c r="A42" s="500">
        <v>45</v>
      </c>
      <c r="B42" s="500"/>
      <c r="C42" s="179" t="s">
        <v>1</v>
      </c>
      <c r="D42" s="82" t="s">
        <v>1</v>
      </c>
      <c r="E42" s="349">
        <v>3.0100000000000001E-3</v>
      </c>
      <c r="F42" s="349">
        <v>4.3800000000000002E-3</v>
      </c>
      <c r="G42" s="349">
        <v>7.8200000000000006E-3</v>
      </c>
      <c r="H42" s="349">
        <v>1.129E-2</v>
      </c>
      <c r="I42" s="351">
        <v>1.874E-2</v>
      </c>
      <c r="J42" s="349">
        <v>2.673E-2</v>
      </c>
      <c r="K42" s="349">
        <v>4.7989999999999998E-2</v>
      </c>
      <c r="L42" s="349">
        <v>6.6589999999999996E-2</v>
      </c>
      <c r="M42" s="348">
        <v>0.10672</v>
      </c>
      <c r="N42" s="349">
        <v>0.14738999999999999</v>
      </c>
      <c r="O42" s="349">
        <v>0.28777999999999998</v>
      </c>
      <c r="P42" s="349">
        <v>0.32445000000000002</v>
      </c>
      <c r="Q42" s="349">
        <v>0.30742000000000003</v>
      </c>
      <c r="R42" s="349">
        <v>0.35319</v>
      </c>
      <c r="S42" s="351">
        <v>0.65395999999999999</v>
      </c>
      <c r="T42" s="349">
        <v>0.75863000000000003</v>
      </c>
      <c r="U42" s="349">
        <v>1.4755400000000001</v>
      </c>
      <c r="V42" s="349">
        <v>1.7470300000000001</v>
      </c>
      <c r="W42" s="457"/>
    </row>
    <row r="43" spans="1:23" ht="12" customHeight="1">
      <c r="A43" s="500">
        <v>50</v>
      </c>
      <c r="B43" s="500"/>
      <c r="C43" s="179" t="s">
        <v>1</v>
      </c>
      <c r="D43" s="82" t="s">
        <v>1</v>
      </c>
      <c r="E43" s="349">
        <v>2.2799999999999999E-3</v>
      </c>
      <c r="F43" s="349">
        <v>3.5799999999999998E-3</v>
      </c>
      <c r="G43" s="349">
        <v>5.7000000000000002E-3</v>
      </c>
      <c r="H43" s="349">
        <v>9.3299999999999998E-3</v>
      </c>
      <c r="I43" s="351">
        <v>1.359E-2</v>
      </c>
      <c r="J43" s="349">
        <v>2.2210000000000001E-2</v>
      </c>
      <c r="K43" s="349">
        <v>3.603E-2</v>
      </c>
      <c r="L43" s="349">
        <v>5.7410000000000003E-2</v>
      </c>
      <c r="M43" s="348">
        <v>7.6100000000000001E-2</v>
      </c>
      <c r="N43" s="349">
        <v>0.12778</v>
      </c>
      <c r="O43" s="349">
        <v>0.21065999999999999</v>
      </c>
      <c r="P43" s="349">
        <v>0.29315999999999998</v>
      </c>
      <c r="Q43" s="349">
        <v>0.22461999999999999</v>
      </c>
      <c r="R43" s="349">
        <v>0.31785999999999998</v>
      </c>
      <c r="S43" s="351">
        <v>0.46753</v>
      </c>
      <c r="T43" s="349">
        <v>0.67201999999999995</v>
      </c>
      <c r="U43" s="349">
        <v>1.20329</v>
      </c>
      <c r="V43" s="349">
        <v>1.5002</v>
      </c>
      <c r="W43" s="457"/>
    </row>
    <row r="44" spans="1:23" ht="12.3" customHeight="1">
      <c r="A44" s="500">
        <v>56</v>
      </c>
      <c r="B44" s="500"/>
      <c r="C44" s="179" t="s">
        <v>1</v>
      </c>
      <c r="D44" s="82" t="s">
        <v>1</v>
      </c>
      <c r="E44" s="349">
        <v>1.9400000000000001E-3</v>
      </c>
      <c r="F44" s="349">
        <v>3.13E-3</v>
      </c>
      <c r="G44" s="349">
        <v>4.8700000000000002E-3</v>
      </c>
      <c r="H44" s="349">
        <v>8.1899999999999994E-3</v>
      </c>
      <c r="I44" s="351">
        <v>1.162E-2</v>
      </c>
      <c r="J44" s="349">
        <v>1.949E-2</v>
      </c>
      <c r="K44" s="349">
        <v>2.835E-2</v>
      </c>
      <c r="L44" s="349">
        <v>5.0470000000000001E-2</v>
      </c>
      <c r="M44" s="348">
        <v>6.4320000000000002E-2</v>
      </c>
      <c r="N44" s="349">
        <v>0.11049</v>
      </c>
      <c r="O44" s="349">
        <v>0.17805000000000001</v>
      </c>
      <c r="P44" s="349">
        <v>0.21496000000000001</v>
      </c>
      <c r="Q44" s="349">
        <v>0.18897</v>
      </c>
      <c r="R44" s="349">
        <v>0.23297000000000001</v>
      </c>
      <c r="S44" s="351">
        <v>0.39842</v>
      </c>
      <c r="T44" s="349">
        <v>0.48071000000000003</v>
      </c>
      <c r="U44" s="349">
        <v>1.01816</v>
      </c>
      <c r="V44" s="349">
        <v>1.22342</v>
      </c>
      <c r="W44" s="457"/>
    </row>
    <row r="45" spans="1:23" ht="12" customHeight="1">
      <c r="A45" s="500">
        <v>63</v>
      </c>
      <c r="B45" s="500"/>
      <c r="C45" s="179" t="s">
        <v>1</v>
      </c>
      <c r="D45" s="82" t="s">
        <v>1</v>
      </c>
      <c r="E45" s="349">
        <v>1.6299999999999999E-3</v>
      </c>
      <c r="F45" s="349">
        <v>2.3800000000000002E-3</v>
      </c>
      <c r="G45" s="349">
        <v>4.13E-3</v>
      </c>
      <c r="H45" s="349">
        <v>5.9699999999999996E-3</v>
      </c>
      <c r="I45" s="351">
        <v>9.8200000000000006E-3</v>
      </c>
      <c r="J45" s="349">
        <v>1.4189999999999999E-2</v>
      </c>
      <c r="K45" s="349">
        <v>2.3859999999999999E-2</v>
      </c>
      <c r="L45" s="349">
        <v>3.805E-2</v>
      </c>
      <c r="M45" s="348">
        <v>5.4280000000000002E-2</v>
      </c>
      <c r="N45" s="349">
        <v>7.9060000000000005E-2</v>
      </c>
      <c r="O45" s="349">
        <v>0.14888999999999999</v>
      </c>
      <c r="P45" s="349">
        <v>0.18145</v>
      </c>
      <c r="Q45" s="349">
        <v>0.15726000000000001</v>
      </c>
      <c r="R45" s="349">
        <v>0.19556000000000001</v>
      </c>
      <c r="S45" s="351">
        <v>0.33618999999999999</v>
      </c>
      <c r="T45" s="349">
        <v>0.40894999999999998</v>
      </c>
      <c r="U45" s="349">
        <v>0.86936999999999998</v>
      </c>
      <c r="V45" s="349">
        <v>1.0339499999999999</v>
      </c>
      <c r="W45" s="457"/>
    </row>
    <row r="46" spans="1:23" ht="12.3" customHeight="1">
      <c r="A46" s="500">
        <v>71</v>
      </c>
      <c r="B46" s="500"/>
      <c r="C46" s="179" t="s">
        <v>1</v>
      </c>
      <c r="D46" s="82" t="s">
        <v>1</v>
      </c>
      <c r="E46" s="349">
        <v>1.23E-3</v>
      </c>
      <c r="F46" s="349">
        <v>2.0200000000000001E-3</v>
      </c>
      <c r="G46" s="349">
        <v>3.2399999999999998E-3</v>
      </c>
      <c r="H46" s="349">
        <v>5.0899999999999999E-3</v>
      </c>
      <c r="I46" s="351">
        <v>7.3800000000000003E-3</v>
      </c>
      <c r="J46" s="349">
        <v>1.21E-2</v>
      </c>
      <c r="K46" s="349">
        <v>1.9E-2</v>
      </c>
      <c r="L46" s="349">
        <v>2.9790000000000001E-2</v>
      </c>
      <c r="M46" s="348">
        <v>4.2209999999999998E-2</v>
      </c>
      <c r="N46" s="349">
        <v>6.6659999999999997E-2</v>
      </c>
      <c r="O46" s="349">
        <v>0.12167</v>
      </c>
      <c r="P46" s="349">
        <v>0.15151999999999999</v>
      </c>
      <c r="Q46" s="349">
        <v>0.13361999999999999</v>
      </c>
      <c r="R46" s="349">
        <v>0.16236999999999999</v>
      </c>
      <c r="S46" s="351">
        <v>0.28899000000000002</v>
      </c>
      <c r="T46" s="349">
        <v>0.34445999999999999</v>
      </c>
      <c r="U46" s="349">
        <v>0.69699</v>
      </c>
      <c r="V46" s="349">
        <v>0.88188999999999995</v>
      </c>
      <c r="W46" s="457"/>
    </row>
    <row r="47" spans="1:23" ht="12" customHeight="1">
      <c r="A47" s="500">
        <v>80</v>
      </c>
      <c r="B47" s="500"/>
      <c r="C47" s="179" t="s">
        <v>1</v>
      </c>
      <c r="D47" s="82" t="s">
        <v>1</v>
      </c>
      <c r="E47" s="349">
        <v>1.0200000000000001E-3</v>
      </c>
      <c r="F47" s="349">
        <v>1.6900000000000001E-3</v>
      </c>
      <c r="G47" s="349">
        <v>2.7799999999999999E-3</v>
      </c>
      <c r="H47" s="349">
        <v>4.3E-3</v>
      </c>
      <c r="I47" s="351">
        <v>6.2399999999999999E-3</v>
      </c>
      <c r="J47" s="349">
        <v>1.0200000000000001E-2</v>
      </c>
      <c r="K47" s="349">
        <v>1.5949999999999999E-2</v>
      </c>
      <c r="L47" s="349">
        <v>2.5000000000000001E-2</v>
      </c>
      <c r="M47" s="348">
        <v>3.866E-2</v>
      </c>
      <c r="N47" s="349">
        <v>5.611E-2</v>
      </c>
      <c r="O47" s="349">
        <v>0.10341</v>
      </c>
      <c r="P47" s="349">
        <v>0.12385</v>
      </c>
      <c r="Q47" s="349">
        <v>0.11393</v>
      </c>
      <c r="R47" s="349">
        <v>0.13785</v>
      </c>
      <c r="S47" s="351">
        <v>0.24204999999999999</v>
      </c>
      <c r="T47" s="349">
        <v>0.29605999999999999</v>
      </c>
      <c r="U47" s="349">
        <v>0.55340999999999996</v>
      </c>
      <c r="V47" s="349">
        <v>0.70676000000000005</v>
      </c>
      <c r="W47" s="457"/>
    </row>
    <row r="48" spans="1:23" ht="12.3" customHeight="1">
      <c r="A48" s="500">
        <v>90</v>
      </c>
      <c r="B48" s="500"/>
      <c r="C48" s="179" t="s">
        <v>1</v>
      </c>
      <c r="D48" s="82" t="s">
        <v>1</v>
      </c>
      <c r="E48" s="349">
        <v>8.8000000000000003E-4</v>
      </c>
      <c r="F48" s="349">
        <v>1.2800000000000001E-3</v>
      </c>
      <c r="G48" s="349">
        <v>2.2899999999999999E-3</v>
      </c>
      <c r="H48" s="349">
        <v>3.3700000000000002E-3</v>
      </c>
      <c r="I48" s="351">
        <v>5.1999999999999998E-3</v>
      </c>
      <c r="J48" s="349">
        <v>7.6800000000000002E-3</v>
      </c>
      <c r="K48" s="349">
        <v>1.453E-2</v>
      </c>
      <c r="L48" s="349">
        <v>1.9910000000000001E-2</v>
      </c>
      <c r="M48" s="348">
        <v>3.1759999999999997E-2</v>
      </c>
      <c r="N48" s="349">
        <v>4.3619999999999999E-2</v>
      </c>
      <c r="O48" s="349">
        <v>8.6459999999999995E-2</v>
      </c>
      <c r="P48" s="349">
        <v>0.10516</v>
      </c>
      <c r="Q48" s="349">
        <v>9.5729999999999996E-2</v>
      </c>
      <c r="R48" s="349">
        <v>0.11733</v>
      </c>
      <c r="S48" s="351">
        <v>0.19750999999999999</v>
      </c>
      <c r="T48" s="349">
        <v>0.24759</v>
      </c>
      <c r="U48" s="349">
        <v>0.50692000000000004</v>
      </c>
      <c r="V48" s="349">
        <v>0.56061000000000005</v>
      </c>
      <c r="W48" s="457"/>
    </row>
    <row r="49" spans="1:23" ht="12" customHeight="1">
      <c r="A49" s="500">
        <v>100</v>
      </c>
      <c r="B49" s="500"/>
      <c r="C49" s="179" t="s">
        <v>1</v>
      </c>
      <c r="D49" s="82" t="s">
        <v>1</v>
      </c>
      <c r="E49" s="82" t="s">
        <v>1</v>
      </c>
      <c r="F49" s="349">
        <v>1.06E-3</v>
      </c>
      <c r="G49" s="82" t="s">
        <v>1</v>
      </c>
      <c r="H49" s="349">
        <v>2.8900000000000002E-3</v>
      </c>
      <c r="I49" s="324" t="s">
        <v>1</v>
      </c>
      <c r="J49" s="349">
        <v>6.4799999999999996E-3</v>
      </c>
      <c r="K49" s="82" t="s">
        <v>1</v>
      </c>
      <c r="L49" s="349">
        <v>1.6670000000000001E-2</v>
      </c>
      <c r="M49" s="179" t="s">
        <v>1</v>
      </c>
      <c r="N49" s="349">
        <v>3.9919999999999997E-2</v>
      </c>
      <c r="O49" s="82" t="s">
        <v>1</v>
      </c>
      <c r="P49" s="349">
        <v>8.7840000000000001E-2</v>
      </c>
      <c r="Q49" s="82" t="s">
        <v>1</v>
      </c>
      <c r="R49" s="349">
        <v>9.8409999999999997E-2</v>
      </c>
      <c r="S49" s="324" t="s">
        <v>1</v>
      </c>
      <c r="T49" s="349">
        <v>0.20171</v>
      </c>
      <c r="U49" s="82" t="s">
        <v>1</v>
      </c>
      <c r="V49" s="349">
        <v>0.51329999999999998</v>
      </c>
      <c r="W49" s="457"/>
    </row>
    <row r="50" spans="1:23" ht="12.3" customHeight="1">
      <c r="A50" s="500">
        <v>112</v>
      </c>
      <c r="B50" s="500"/>
      <c r="C50" s="179" t="s">
        <v>1</v>
      </c>
      <c r="D50" s="82" t="s">
        <v>1</v>
      </c>
      <c r="E50" s="82" t="s">
        <v>1</v>
      </c>
      <c r="F50" s="349">
        <v>9.1E-4</v>
      </c>
      <c r="G50" s="82" t="s">
        <v>1</v>
      </c>
      <c r="H50" s="349">
        <v>2.3800000000000002E-3</v>
      </c>
      <c r="I50" s="324" t="s">
        <v>1</v>
      </c>
      <c r="J50" s="349">
        <v>5.3899999999999998E-3</v>
      </c>
      <c r="K50" s="82" t="s">
        <v>1</v>
      </c>
      <c r="L50" s="349">
        <v>1.5169999999999999E-2</v>
      </c>
      <c r="M50" s="179" t="s">
        <v>1</v>
      </c>
      <c r="N50" s="349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57"/>
    </row>
    <row r="51" spans="1:23" ht="12" customHeight="1">
      <c r="A51" s="509" t="s">
        <v>519</v>
      </c>
      <c r="B51" s="509"/>
      <c r="C51" s="179" t="s">
        <v>1</v>
      </c>
      <c r="D51" s="82" t="s">
        <v>1</v>
      </c>
      <c r="E51" s="333">
        <v>6.0000000000000001E-3</v>
      </c>
      <c r="F51" s="333">
        <v>6.0000000000000001E-3</v>
      </c>
      <c r="G51" s="333">
        <v>0.01</v>
      </c>
      <c r="H51" s="333">
        <v>0.01</v>
      </c>
      <c r="I51" s="352">
        <v>0.02</v>
      </c>
      <c r="J51" s="333">
        <v>0.02</v>
      </c>
      <c r="K51" s="333">
        <v>4.4999999999999998E-2</v>
      </c>
      <c r="L51" s="333">
        <v>4.4999999999999998E-2</v>
      </c>
      <c r="M51" s="295">
        <v>4.4999999999999998E-2</v>
      </c>
      <c r="N51" s="333">
        <v>4.4999999999999998E-2</v>
      </c>
      <c r="O51" s="333">
        <v>0.1</v>
      </c>
      <c r="P51" s="333">
        <v>0.1</v>
      </c>
      <c r="Q51" s="333">
        <v>0.1</v>
      </c>
      <c r="R51" s="333">
        <v>0.1</v>
      </c>
      <c r="S51" s="360"/>
      <c r="T51" s="334"/>
      <c r="U51" s="334"/>
      <c r="V51" s="334"/>
      <c r="W51" s="461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500">
        <v>100</v>
      </c>
      <c r="B56" s="500"/>
      <c r="C56" s="335" t="s">
        <v>1</v>
      </c>
      <c r="D56" s="337" t="s">
        <v>1</v>
      </c>
      <c r="E56" s="337" t="s">
        <v>1</v>
      </c>
      <c r="F56" s="337" t="s">
        <v>1</v>
      </c>
      <c r="G56" s="350">
        <v>3.2799999999999999E-3</v>
      </c>
      <c r="H56" s="337" t="s">
        <v>1</v>
      </c>
      <c r="I56" s="354">
        <v>6.6699999999999997E-3</v>
      </c>
      <c r="J56" s="337" t="s">
        <v>1</v>
      </c>
      <c r="K56" s="350">
        <v>1.753E-2</v>
      </c>
      <c r="L56" s="337" t="s">
        <v>1</v>
      </c>
      <c r="M56" s="353">
        <v>3.9620000000000002E-2</v>
      </c>
      <c r="N56" s="337" t="s">
        <v>1</v>
      </c>
      <c r="O56" s="350">
        <v>0.10814</v>
      </c>
      <c r="P56" s="337" t="s">
        <v>1</v>
      </c>
      <c r="Q56" s="350">
        <v>0.11315</v>
      </c>
      <c r="R56" s="337" t="s">
        <v>1</v>
      </c>
      <c r="S56" s="354">
        <v>0.23894000000000001</v>
      </c>
      <c r="T56" s="337" t="s">
        <v>1</v>
      </c>
      <c r="U56" s="350">
        <v>0.60938999999999999</v>
      </c>
      <c r="V56" s="337" t="s">
        <v>1</v>
      </c>
      <c r="W56" s="462" t="s">
        <v>73</v>
      </c>
    </row>
    <row r="57" spans="1:23" ht="12" customHeight="1">
      <c r="A57" s="500">
        <v>112</v>
      </c>
      <c r="B57" s="500"/>
      <c r="C57" s="335" t="s">
        <v>1</v>
      </c>
      <c r="D57" s="337" t="s">
        <v>1</v>
      </c>
      <c r="E57" s="337" t="s">
        <v>1</v>
      </c>
      <c r="F57" s="337" t="s">
        <v>1</v>
      </c>
      <c r="G57" s="350">
        <v>2.7399999999999998E-3</v>
      </c>
      <c r="H57" s="337" t="s">
        <v>1</v>
      </c>
      <c r="I57" s="354">
        <v>5.5199999999999997E-3</v>
      </c>
      <c r="J57" s="337" t="s">
        <v>1</v>
      </c>
      <c r="K57" s="350">
        <v>1.5599999999999999E-2</v>
      </c>
      <c r="L57" s="337" t="s">
        <v>1</v>
      </c>
      <c r="M57" s="353">
        <v>3.2539999999999999E-2</v>
      </c>
      <c r="N57" s="337" t="s">
        <v>1</v>
      </c>
      <c r="O57" s="350">
        <v>8.7639999999999996E-2</v>
      </c>
      <c r="P57" s="350">
        <v>0.1091</v>
      </c>
      <c r="Q57" s="350">
        <v>9.1730000000000006E-2</v>
      </c>
      <c r="R57" s="350">
        <v>0.11518</v>
      </c>
      <c r="S57" s="354">
        <v>0.19488</v>
      </c>
      <c r="T57" s="350">
        <v>0.24221999999999999</v>
      </c>
      <c r="U57" s="350">
        <v>0.52729000000000004</v>
      </c>
      <c r="V57" s="350">
        <v>0.61424999999999996</v>
      </c>
      <c r="W57" s="463"/>
    </row>
    <row r="58" spans="1:23" ht="12.3" customHeight="1">
      <c r="A58" s="500">
        <v>125</v>
      </c>
      <c r="B58" s="500"/>
      <c r="C58" s="335" t="s">
        <v>1</v>
      </c>
      <c r="D58" s="337" t="s">
        <v>1</v>
      </c>
      <c r="E58" s="337" t="s">
        <v>1</v>
      </c>
      <c r="F58" s="337" t="s">
        <v>1</v>
      </c>
      <c r="G58" s="350">
        <v>2.4299999999999999E-3</v>
      </c>
      <c r="H58" s="350">
        <v>3.3400000000000001E-3</v>
      </c>
      <c r="I58" s="354">
        <v>4.8599999999999997E-3</v>
      </c>
      <c r="J58" s="350">
        <v>6.8300000000000001E-3</v>
      </c>
      <c r="K58" s="350">
        <v>1.3100000000000001E-2</v>
      </c>
      <c r="L58" s="350">
        <v>1.796E-2</v>
      </c>
      <c r="M58" s="353">
        <v>2.8729999999999999E-2</v>
      </c>
      <c r="N58" s="350">
        <v>4.0340000000000001E-2</v>
      </c>
      <c r="O58" s="350">
        <v>7.6130000000000003E-2</v>
      </c>
      <c r="P58" s="350">
        <v>8.8289999999999993E-2</v>
      </c>
      <c r="Q58" s="350">
        <v>7.9719999999999999E-2</v>
      </c>
      <c r="R58" s="350">
        <v>9.3240000000000003E-2</v>
      </c>
      <c r="S58" s="354">
        <v>0.16925000000000001</v>
      </c>
      <c r="T58" s="350">
        <v>0.19732</v>
      </c>
      <c r="U58" s="350">
        <v>0.45584000000000002</v>
      </c>
      <c r="V58" s="350">
        <v>0.53127000000000002</v>
      </c>
      <c r="W58" s="463"/>
    </row>
    <row r="59" spans="1:23" ht="12" customHeight="1">
      <c r="A59" s="500">
        <v>140</v>
      </c>
      <c r="B59" s="500"/>
      <c r="C59" s="335" t="s">
        <v>1</v>
      </c>
      <c r="D59" s="337" t="s">
        <v>1</v>
      </c>
      <c r="E59" s="337" t="s">
        <v>1</v>
      </c>
      <c r="F59" s="337" t="s">
        <v>1</v>
      </c>
      <c r="G59" s="350">
        <v>2.0200000000000001E-3</v>
      </c>
      <c r="H59" s="350">
        <v>2.7899999999999999E-3</v>
      </c>
      <c r="I59" s="354">
        <v>4.28E-3</v>
      </c>
      <c r="J59" s="350">
        <v>5.64E-3</v>
      </c>
      <c r="K59" s="350">
        <v>1.1639999999999999E-2</v>
      </c>
      <c r="L59" s="350">
        <v>1.5970000000000002E-2</v>
      </c>
      <c r="M59" s="353">
        <v>2.5340000000000001E-2</v>
      </c>
      <c r="N59" s="350">
        <v>3.3090000000000001E-2</v>
      </c>
      <c r="O59" s="350">
        <v>6.6049999999999998E-2</v>
      </c>
      <c r="P59" s="350">
        <v>7.6719999999999997E-2</v>
      </c>
      <c r="Q59" s="350">
        <v>6.9220000000000004E-2</v>
      </c>
      <c r="R59" s="350">
        <v>8.0960000000000004E-2</v>
      </c>
      <c r="S59" s="354">
        <v>0.14680000000000001</v>
      </c>
      <c r="T59" s="350">
        <v>0.17125000000000001</v>
      </c>
      <c r="U59" s="350">
        <v>0.36515999999999998</v>
      </c>
      <c r="V59" s="350">
        <v>0.45909</v>
      </c>
      <c r="W59" s="463"/>
    </row>
    <row r="60" spans="1:23" ht="12.3" customHeight="1">
      <c r="A60" s="500">
        <v>160</v>
      </c>
      <c r="B60" s="500"/>
      <c r="C60" s="335" t="s">
        <v>1</v>
      </c>
      <c r="D60" s="337" t="s">
        <v>1</v>
      </c>
      <c r="E60" s="337" t="s">
        <v>1</v>
      </c>
      <c r="F60" s="337" t="s">
        <v>1</v>
      </c>
      <c r="G60" s="350">
        <v>1.7600000000000001E-3</v>
      </c>
      <c r="H60" s="350">
        <v>2.47E-3</v>
      </c>
      <c r="I60" s="354">
        <v>3.48E-3</v>
      </c>
      <c r="J60" s="350">
        <v>4.96E-3</v>
      </c>
      <c r="K60" s="350">
        <v>9.7000000000000003E-3</v>
      </c>
      <c r="L60" s="350">
        <v>1.338E-2</v>
      </c>
      <c r="M60" s="353">
        <v>2.087E-2</v>
      </c>
      <c r="N60" s="350">
        <v>2.9190000000000001E-2</v>
      </c>
      <c r="O60" s="350">
        <v>5.704E-2</v>
      </c>
      <c r="P60" s="350">
        <v>6.6519999999999996E-2</v>
      </c>
      <c r="Q60" s="350">
        <v>5.9859999999999997E-2</v>
      </c>
      <c r="R60" s="350">
        <v>7.0220000000000005E-2</v>
      </c>
      <c r="S60" s="354">
        <v>0.12654000000000001</v>
      </c>
      <c r="T60" s="350">
        <v>0.14842</v>
      </c>
      <c r="U60" s="350">
        <v>0.31381999999999999</v>
      </c>
      <c r="V60" s="350">
        <v>0.36751</v>
      </c>
      <c r="W60" s="463"/>
    </row>
    <row r="61" spans="1:23" ht="12" customHeight="1">
      <c r="A61" s="500">
        <v>180</v>
      </c>
      <c r="B61" s="500"/>
      <c r="C61" s="335" t="s">
        <v>1</v>
      </c>
      <c r="D61" s="337" t="s">
        <v>1</v>
      </c>
      <c r="E61" s="337" t="s">
        <v>1</v>
      </c>
      <c r="F61" s="337" t="s">
        <v>1</v>
      </c>
      <c r="G61" s="350">
        <v>1.5299999999999999E-3</v>
      </c>
      <c r="H61" s="350">
        <v>2.0500000000000002E-3</v>
      </c>
      <c r="I61" s="354">
        <v>3.0000000000000001E-3</v>
      </c>
      <c r="J61" s="350">
        <v>4.3600000000000002E-3</v>
      </c>
      <c r="K61" s="350">
        <v>8.4799999999999997E-3</v>
      </c>
      <c r="L61" s="350">
        <v>1.188E-2</v>
      </c>
      <c r="M61" s="353">
        <v>1.806E-2</v>
      </c>
      <c r="N61" s="350">
        <v>2.572E-2</v>
      </c>
      <c r="O61" s="350">
        <v>4.99E-2</v>
      </c>
      <c r="P61" s="350">
        <v>5.7419999999999999E-2</v>
      </c>
      <c r="Q61" s="350">
        <v>5.2470000000000003E-2</v>
      </c>
      <c r="R61" s="350">
        <v>6.0659999999999999E-2</v>
      </c>
      <c r="S61" s="354">
        <v>0.10759000000000001</v>
      </c>
      <c r="T61" s="350">
        <v>0.12784999999999999</v>
      </c>
      <c r="U61" s="350">
        <v>0.28076000000000001</v>
      </c>
      <c r="V61" s="350">
        <v>0.31569999999999998</v>
      </c>
      <c r="W61" s="463"/>
    </row>
    <row r="62" spans="1:23" ht="12.3" customHeight="1">
      <c r="A62" s="500">
        <v>200</v>
      </c>
      <c r="B62" s="500"/>
      <c r="C62" s="335" t="s">
        <v>1</v>
      </c>
      <c r="D62" s="337" t="s">
        <v>1</v>
      </c>
      <c r="E62" s="337" t="s">
        <v>1</v>
      </c>
      <c r="F62" s="337" t="s">
        <v>1</v>
      </c>
      <c r="G62" s="350">
        <v>1.24E-3</v>
      </c>
      <c r="H62" s="350">
        <v>1.7799999999999999E-3</v>
      </c>
      <c r="I62" s="354">
        <v>2.3E-3</v>
      </c>
      <c r="J62" s="350">
        <v>3.5400000000000002E-3</v>
      </c>
      <c r="K62" s="350">
        <v>5.9500000000000004E-3</v>
      </c>
      <c r="L62" s="350">
        <v>9.8799999999999999E-3</v>
      </c>
      <c r="M62" s="353">
        <v>1.3390000000000001E-2</v>
      </c>
      <c r="N62" s="350">
        <v>2.1149999999999999E-2</v>
      </c>
      <c r="O62" s="350">
        <v>3.8030000000000001E-2</v>
      </c>
      <c r="P62" s="350">
        <v>5.0220000000000001E-2</v>
      </c>
      <c r="Q62" s="350">
        <v>3.9370000000000002E-2</v>
      </c>
      <c r="R62" s="350">
        <v>5.3129999999999997E-2</v>
      </c>
      <c r="S62" s="354">
        <v>8.1500000000000003E-2</v>
      </c>
      <c r="T62" s="350">
        <v>0.10861999999999999</v>
      </c>
      <c r="U62" s="350">
        <v>0.21559</v>
      </c>
      <c r="V62" s="350">
        <v>0.28234999999999999</v>
      </c>
      <c r="W62" s="463"/>
    </row>
    <row r="63" spans="1:23" ht="12" customHeight="1">
      <c r="A63" s="500">
        <v>224</v>
      </c>
      <c r="B63" s="500"/>
      <c r="C63" s="335" t="s">
        <v>1</v>
      </c>
      <c r="D63" s="337" t="s">
        <v>1</v>
      </c>
      <c r="E63" s="337" t="s">
        <v>1</v>
      </c>
      <c r="F63" s="337" t="s">
        <v>1</v>
      </c>
      <c r="G63" s="350">
        <v>9.7000000000000005E-4</v>
      </c>
      <c r="H63" s="350">
        <v>1.5499999999999999E-3</v>
      </c>
      <c r="I63" s="354">
        <v>1.9499999999999999E-3</v>
      </c>
      <c r="J63" s="350">
        <v>3.0500000000000002E-3</v>
      </c>
      <c r="K63" s="350">
        <v>5.0800000000000003E-3</v>
      </c>
      <c r="L63" s="350">
        <v>8.6300000000000005E-3</v>
      </c>
      <c r="M63" s="353">
        <v>1.1350000000000001E-2</v>
      </c>
      <c r="N63" s="350">
        <v>1.8290000000000001E-2</v>
      </c>
      <c r="O63" s="350">
        <v>2.9940000000000001E-2</v>
      </c>
      <c r="P63" s="350">
        <v>3.8280000000000002E-2</v>
      </c>
      <c r="Q63" s="350">
        <v>3.1019999999999999E-2</v>
      </c>
      <c r="R63" s="350">
        <v>3.9910000000000001E-2</v>
      </c>
      <c r="S63" s="354">
        <v>6.8510000000000001E-2</v>
      </c>
      <c r="T63" s="350">
        <v>8.2309999999999994E-2</v>
      </c>
      <c r="U63" s="350">
        <v>0.18182999999999999</v>
      </c>
      <c r="V63" s="350">
        <v>0.21687000000000001</v>
      </c>
      <c r="W63" s="463"/>
    </row>
    <row r="64" spans="1:23" ht="12.3" customHeight="1">
      <c r="A64" s="500">
        <v>250</v>
      </c>
      <c r="B64" s="500"/>
      <c r="C64" s="335" t="s">
        <v>1</v>
      </c>
      <c r="D64" s="337" t="s">
        <v>1</v>
      </c>
      <c r="E64" s="337" t="s">
        <v>1</v>
      </c>
      <c r="F64" s="337" t="s">
        <v>1</v>
      </c>
      <c r="G64" s="350">
        <v>8.0999999999999996E-4</v>
      </c>
      <c r="H64" s="350">
        <v>1.2600000000000001E-3</v>
      </c>
      <c r="I64" s="354">
        <v>1.6299999999999999E-3</v>
      </c>
      <c r="J64" s="350">
        <v>2.3400000000000001E-3</v>
      </c>
      <c r="K64" s="350">
        <v>4.28E-3</v>
      </c>
      <c r="L64" s="350">
        <v>6.0600000000000003E-3</v>
      </c>
      <c r="M64" s="353">
        <v>9.4800000000000006E-3</v>
      </c>
      <c r="N64" s="350">
        <v>1.358E-2</v>
      </c>
      <c r="O64" s="350">
        <v>2.503E-2</v>
      </c>
      <c r="P64" s="350">
        <v>3.0130000000000001E-2</v>
      </c>
      <c r="Q64" s="350">
        <v>2.596E-2</v>
      </c>
      <c r="R64" s="350">
        <v>3.1399999999999997E-2</v>
      </c>
      <c r="S64" s="354">
        <v>5.7279999999999998E-2</v>
      </c>
      <c r="T64" s="350">
        <v>6.9150000000000003E-2</v>
      </c>
      <c r="U64" s="350">
        <v>0.15057000000000001</v>
      </c>
      <c r="V64" s="350">
        <v>0.18284</v>
      </c>
      <c r="W64" s="463"/>
    </row>
    <row r="65" spans="1:23" ht="12" customHeight="1">
      <c r="A65" s="500">
        <v>280</v>
      </c>
      <c r="B65" s="500"/>
      <c r="C65" s="335" t="s">
        <v>1</v>
      </c>
      <c r="D65" s="337" t="s">
        <v>1</v>
      </c>
      <c r="E65" s="337" t="s">
        <v>1</v>
      </c>
      <c r="F65" s="337" t="s">
        <v>1</v>
      </c>
      <c r="G65" s="350">
        <v>6.4999999999999997E-4</v>
      </c>
      <c r="H65" s="350">
        <v>9.7999999999999997E-4</v>
      </c>
      <c r="I65" s="354">
        <v>1.34E-3</v>
      </c>
      <c r="J65" s="350">
        <v>1.99E-3</v>
      </c>
      <c r="K65" s="350">
        <v>3.5400000000000002E-3</v>
      </c>
      <c r="L65" s="350">
        <v>5.1700000000000001E-3</v>
      </c>
      <c r="M65" s="353">
        <v>7.9399999999999991E-3</v>
      </c>
      <c r="N65" s="350">
        <v>1.15E-2</v>
      </c>
      <c r="O65" s="350">
        <v>2.1000000000000001E-2</v>
      </c>
      <c r="P65" s="350">
        <v>2.5170000000000001E-2</v>
      </c>
      <c r="Q65" s="350">
        <v>2.181E-2</v>
      </c>
      <c r="R65" s="350">
        <v>2.6259999999999999E-2</v>
      </c>
      <c r="S65" s="354">
        <v>4.6769999999999999E-2</v>
      </c>
      <c r="T65" s="350">
        <v>5.7790000000000001E-2</v>
      </c>
      <c r="U65" s="350">
        <v>0.12952</v>
      </c>
      <c r="V65" s="350">
        <v>0.15135000000000001</v>
      </c>
      <c r="W65" s="463"/>
    </row>
    <row r="66" spans="1:23" ht="12.3" customHeight="1">
      <c r="A66" s="500">
        <v>315</v>
      </c>
      <c r="B66" s="500"/>
      <c r="C66" s="335" t="s">
        <v>1</v>
      </c>
      <c r="D66" s="337" t="s">
        <v>1</v>
      </c>
      <c r="E66" s="337" t="s">
        <v>1</v>
      </c>
      <c r="F66" s="337" t="s">
        <v>1</v>
      </c>
      <c r="G66" s="350">
        <v>5.9999999999999995E-4</v>
      </c>
      <c r="H66" s="350">
        <v>8.1999999999999998E-4</v>
      </c>
      <c r="I66" s="354">
        <v>1.1199999999999999E-3</v>
      </c>
      <c r="J66" s="350">
        <v>1.65E-3</v>
      </c>
      <c r="K66" s="350">
        <v>3.0400000000000002E-3</v>
      </c>
      <c r="L66" s="350">
        <v>4.3499999999999997E-3</v>
      </c>
      <c r="M66" s="353">
        <v>6.7000000000000002E-3</v>
      </c>
      <c r="N66" s="350">
        <v>9.5999999999999992E-3</v>
      </c>
      <c r="O66" s="350">
        <v>1.7680000000000001E-2</v>
      </c>
      <c r="P66" s="350">
        <v>2.111E-2</v>
      </c>
      <c r="Q66" s="350">
        <v>1.84E-2</v>
      </c>
      <c r="R66" s="350">
        <v>2.206E-2</v>
      </c>
      <c r="S66" s="354">
        <v>4.283E-2</v>
      </c>
      <c r="T66" s="350">
        <v>4.7160000000000001E-2</v>
      </c>
      <c r="U66" s="350">
        <v>0.10994</v>
      </c>
      <c r="V66" s="350">
        <v>0.13017000000000001</v>
      </c>
      <c r="W66" s="463"/>
    </row>
    <row r="67" spans="1:23" ht="12" customHeight="1">
      <c r="A67" s="500">
        <v>355</v>
      </c>
      <c r="B67" s="500"/>
      <c r="C67" s="335" t="s">
        <v>1</v>
      </c>
      <c r="D67" s="337" t="s">
        <v>1</v>
      </c>
      <c r="E67" s="337" t="s">
        <v>1</v>
      </c>
      <c r="F67" s="337" t="s">
        <v>1</v>
      </c>
      <c r="G67" s="350">
        <v>5.0000000000000001E-4</v>
      </c>
      <c r="H67" s="350">
        <v>6.6E-4</v>
      </c>
      <c r="I67" s="354">
        <v>9.7000000000000005E-4</v>
      </c>
      <c r="J67" s="350">
        <v>1.3600000000000001E-3</v>
      </c>
      <c r="K67" s="350">
        <v>2.5200000000000001E-3</v>
      </c>
      <c r="L67" s="350">
        <v>3.5999999999999999E-3</v>
      </c>
      <c r="M67" s="353">
        <v>5.5900000000000004E-3</v>
      </c>
      <c r="N67" s="350">
        <v>8.0300000000000007E-3</v>
      </c>
      <c r="O67" s="350">
        <v>1.6160000000000001E-2</v>
      </c>
      <c r="P67" s="350">
        <v>1.7770000000000001E-2</v>
      </c>
      <c r="Q67" s="350">
        <v>1.685E-2</v>
      </c>
      <c r="R67" s="350">
        <v>1.8589999999999999E-2</v>
      </c>
      <c r="S67" s="354">
        <v>3.5720000000000002E-2</v>
      </c>
      <c r="T67" s="350">
        <v>4.3180000000000003E-2</v>
      </c>
      <c r="U67" s="350">
        <v>9.1719999999999996E-2</v>
      </c>
      <c r="V67" s="350">
        <v>0.11046</v>
      </c>
      <c r="W67" s="463"/>
    </row>
    <row r="68" spans="1:23" ht="12.3" customHeight="1">
      <c r="A68" s="500">
        <v>400</v>
      </c>
      <c r="B68" s="500"/>
      <c r="C68" s="335" t="s">
        <v>1</v>
      </c>
      <c r="D68" s="337" t="s">
        <v>1</v>
      </c>
      <c r="E68" s="337" t="s">
        <v>1</v>
      </c>
      <c r="F68" s="337" t="s">
        <v>1</v>
      </c>
      <c r="G68" s="337" t="s">
        <v>1</v>
      </c>
      <c r="H68" s="350">
        <v>5.9999999999999995E-4</v>
      </c>
      <c r="I68" s="357" t="s">
        <v>1</v>
      </c>
      <c r="J68" s="350">
        <v>1.14E-3</v>
      </c>
      <c r="K68" s="337" t="s">
        <v>1</v>
      </c>
      <c r="L68" s="350">
        <v>3.0899999999999999E-3</v>
      </c>
      <c r="M68" s="335" t="s">
        <v>1</v>
      </c>
      <c r="N68" s="350">
        <v>6.7799999999999996E-3</v>
      </c>
      <c r="O68" s="337" t="s">
        <v>1</v>
      </c>
      <c r="P68" s="350">
        <v>1.6250000000000001E-2</v>
      </c>
      <c r="Q68" s="337" t="s">
        <v>1</v>
      </c>
      <c r="R68" s="350">
        <v>1.702E-2</v>
      </c>
      <c r="S68" s="357" t="s">
        <v>1</v>
      </c>
      <c r="T68" s="350">
        <v>3.5990000000000001E-2</v>
      </c>
      <c r="U68" s="337" t="s">
        <v>1</v>
      </c>
      <c r="V68" s="350">
        <v>9.2130000000000004E-2</v>
      </c>
      <c r="W68" s="463"/>
    </row>
    <row r="69" spans="1:23" ht="12" customHeight="1">
      <c r="A69" s="503">
        <v>450</v>
      </c>
      <c r="B69" s="503"/>
      <c r="C69" s="365" t="s">
        <v>1</v>
      </c>
      <c r="D69" s="366" t="s">
        <v>1</v>
      </c>
      <c r="E69" s="366" t="s">
        <v>1</v>
      </c>
      <c r="F69" s="366" t="s">
        <v>1</v>
      </c>
      <c r="G69" s="366" t="s">
        <v>1</v>
      </c>
      <c r="H69" s="373">
        <v>5.0000000000000001E-4</v>
      </c>
      <c r="I69" s="374" t="s">
        <v>1</v>
      </c>
      <c r="J69" s="373">
        <v>9.7999999999999997E-4</v>
      </c>
      <c r="K69" s="366" t="s">
        <v>1</v>
      </c>
      <c r="L69" s="373">
        <v>2.5600000000000002E-3</v>
      </c>
      <c r="M69" s="365" t="s">
        <v>1</v>
      </c>
      <c r="N69" s="373">
        <v>5.6499999999999996E-3</v>
      </c>
      <c r="O69" s="366" t="s">
        <v>1</v>
      </c>
      <c r="P69" s="366" t="s">
        <v>1</v>
      </c>
      <c r="Q69" s="366" t="s">
        <v>1</v>
      </c>
      <c r="R69" s="366" t="s">
        <v>1</v>
      </c>
      <c r="S69" s="374" t="s">
        <v>1</v>
      </c>
      <c r="T69" s="366" t="s">
        <v>1</v>
      </c>
      <c r="U69" s="366" t="s">
        <v>1</v>
      </c>
      <c r="V69" s="366" t="s">
        <v>1</v>
      </c>
      <c r="W69" s="485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77" t="s">
        <v>517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</row>
    <row r="2" spans="1:22">
      <c r="A2" s="474" t="s">
        <v>14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504" t="s">
        <v>69</v>
      </c>
      <c r="B3" s="504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502">
        <v>5</v>
      </c>
      <c r="B20" s="502"/>
      <c r="C20" s="348">
        <v>3.211E-2</v>
      </c>
      <c r="D20" s="349">
        <v>7.5009999999999993E-2</v>
      </c>
      <c r="E20" s="82" t="s">
        <v>1</v>
      </c>
      <c r="F20" s="349">
        <v>0.20154</v>
      </c>
      <c r="G20" s="82" t="s">
        <v>1</v>
      </c>
      <c r="H20" s="351">
        <v>0.44627</v>
      </c>
      <c r="I20" s="82" t="s">
        <v>1</v>
      </c>
      <c r="J20" s="349">
        <v>1.2905800000000001</v>
      </c>
      <c r="K20" s="82" t="s">
        <v>1</v>
      </c>
      <c r="L20" s="348">
        <v>2.7949600000000001</v>
      </c>
      <c r="M20" s="82" t="s">
        <v>1</v>
      </c>
      <c r="N20" s="349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56" t="s">
        <v>456</v>
      </c>
    </row>
    <row r="21" spans="1:22" ht="12" customHeight="1">
      <c r="A21" s="502">
        <v>5.6</v>
      </c>
      <c r="B21" s="502"/>
      <c r="C21" s="348">
        <v>3.024E-2</v>
      </c>
      <c r="D21" s="349">
        <v>6.9150000000000003E-2</v>
      </c>
      <c r="E21" s="82" t="s">
        <v>1</v>
      </c>
      <c r="F21" s="349">
        <v>0.17136999999999999</v>
      </c>
      <c r="G21" s="82" t="s">
        <v>1</v>
      </c>
      <c r="H21" s="351">
        <v>0.37934000000000001</v>
      </c>
      <c r="I21" s="82" t="s">
        <v>1</v>
      </c>
      <c r="J21" s="349">
        <v>1.0825</v>
      </c>
      <c r="K21" s="82" t="s">
        <v>1</v>
      </c>
      <c r="L21" s="348">
        <v>2.3614099999999998</v>
      </c>
      <c r="M21" s="82" t="s">
        <v>1</v>
      </c>
      <c r="N21" s="349">
        <v>5.4064800000000002</v>
      </c>
      <c r="O21" s="349">
        <v>6.6667699999999996</v>
      </c>
      <c r="P21" s="349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57"/>
    </row>
    <row r="22" spans="1:22" ht="11.7" customHeight="1">
      <c r="A22" s="502">
        <v>6.3</v>
      </c>
      <c r="B22" s="502"/>
      <c r="C22" s="348">
        <v>2.673E-2</v>
      </c>
      <c r="D22" s="349">
        <v>5.7910000000000003E-2</v>
      </c>
      <c r="E22" s="349">
        <v>8.4059999999999996E-2</v>
      </c>
      <c r="F22" s="349">
        <v>0.13819000000000001</v>
      </c>
      <c r="G22" s="349">
        <v>0.23057</v>
      </c>
      <c r="H22" s="351">
        <v>0.30248000000000003</v>
      </c>
      <c r="I22" s="349">
        <v>0.50622</v>
      </c>
      <c r="J22" s="349">
        <v>0.85265000000000002</v>
      </c>
      <c r="K22" s="349">
        <v>1.48203</v>
      </c>
      <c r="L22" s="348">
        <v>1.86785</v>
      </c>
      <c r="M22" s="349">
        <v>3.1015600000000001</v>
      </c>
      <c r="N22" s="349">
        <v>4.4976000000000003</v>
      </c>
      <c r="O22" s="349">
        <v>5.7266000000000004</v>
      </c>
      <c r="P22" s="349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57"/>
    </row>
    <row r="23" spans="1:22" ht="11.7" customHeight="1">
      <c r="A23" s="502">
        <v>7.1</v>
      </c>
      <c r="B23" s="502"/>
      <c r="C23" s="348">
        <v>2.249E-2</v>
      </c>
      <c r="D23" s="349">
        <v>4.9549999999999997E-2</v>
      </c>
      <c r="E23" s="349">
        <v>7.6679999999999998E-2</v>
      </c>
      <c r="F23" s="349">
        <v>0.11905</v>
      </c>
      <c r="G23" s="349">
        <v>0.19553999999999999</v>
      </c>
      <c r="H23" s="351">
        <v>0.25734000000000001</v>
      </c>
      <c r="I23" s="349">
        <v>0.42923</v>
      </c>
      <c r="J23" s="349">
        <v>0.73360000000000003</v>
      </c>
      <c r="K23" s="349">
        <v>1.2324200000000001</v>
      </c>
      <c r="L23" s="348">
        <v>1.6344799999999999</v>
      </c>
      <c r="M23" s="349">
        <v>2.6014900000000001</v>
      </c>
      <c r="N23" s="349">
        <v>3.7700100000000001</v>
      </c>
      <c r="O23" s="349">
        <v>4.7481</v>
      </c>
      <c r="P23" s="349">
        <v>7.1421900000000003</v>
      </c>
      <c r="Q23" s="349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57"/>
    </row>
    <row r="24" spans="1:22" ht="12" customHeight="1">
      <c r="A24" s="502">
        <v>8</v>
      </c>
      <c r="B24" s="502"/>
      <c r="C24" s="348">
        <v>1.814E-2</v>
      </c>
      <c r="D24" s="349">
        <v>3.7990000000000003E-2</v>
      </c>
      <c r="E24" s="349">
        <v>6.3469999999999999E-2</v>
      </c>
      <c r="F24" s="349">
        <v>8.8580000000000006E-2</v>
      </c>
      <c r="G24" s="349">
        <v>0.15603</v>
      </c>
      <c r="H24" s="351">
        <v>0.18973000000000001</v>
      </c>
      <c r="I24" s="349">
        <v>0.33932000000000001</v>
      </c>
      <c r="J24" s="349">
        <v>0.53110000000000002</v>
      </c>
      <c r="K24" s="349">
        <v>0.96847000000000005</v>
      </c>
      <c r="L24" s="348">
        <v>1.18384</v>
      </c>
      <c r="M24" s="349">
        <v>2.0533299999999999</v>
      </c>
      <c r="N24" s="349">
        <v>2.7821400000000001</v>
      </c>
      <c r="O24" s="349">
        <v>3.968</v>
      </c>
      <c r="P24" s="349">
        <v>5.0182399999999996</v>
      </c>
      <c r="Q24" s="349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57"/>
    </row>
    <row r="25" spans="1:22" ht="11.7" customHeight="1">
      <c r="A25" s="502">
        <v>9</v>
      </c>
      <c r="B25" s="502"/>
      <c r="C25" s="348">
        <v>1.486E-2</v>
      </c>
      <c r="D25" s="349">
        <v>3.1150000000000001E-2</v>
      </c>
      <c r="E25" s="349">
        <v>5.4100000000000002E-2</v>
      </c>
      <c r="F25" s="349">
        <v>7.9519999999999993E-2</v>
      </c>
      <c r="G25" s="349">
        <v>0.13364999999999999</v>
      </c>
      <c r="H25" s="351">
        <v>0.17287</v>
      </c>
      <c r="I25" s="349">
        <v>0.28749000000000002</v>
      </c>
      <c r="J25" s="349">
        <v>0.48050999999999999</v>
      </c>
      <c r="K25" s="349">
        <v>0.82632000000000005</v>
      </c>
      <c r="L25" s="348">
        <v>1.0697300000000001</v>
      </c>
      <c r="M25" s="349">
        <v>1.7829699999999999</v>
      </c>
      <c r="N25" s="349">
        <v>2.5313300000000001</v>
      </c>
      <c r="O25" s="349">
        <v>2.9355699999999998</v>
      </c>
      <c r="P25" s="349">
        <v>4.52494</v>
      </c>
      <c r="Q25" s="349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57"/>
    </row>
    <row r="26" spans="1:22" ht="11.7" customHeight="1">
      <c r="A26" s="500">
        <v>10</v>
      </c>
      <c r="B26" s="500"/>
      <c r="C26" s="348">
        <v>1.0370000000000001E-2</v>
      </c>
      <c r="D26" s="349">
        <v>2.538E-2</v>
      </c>
      <c r="E26" s="349">
        <v>4.1849999999999998E-2</v>
      </c>
      <c r="F26" s="349">
        <v>6.8830000000000002E-2</v>
      </c>
      <c r="G26" s="349">
        <v>9.9650000000000002E-2</v>
      </c>
      <c r="H26" s="351">
        <v>0.14613999999999999</v>
      </c>
      <c r="I26" s="349">
        <v>0.21259</v>
      </c>
      <c r="J26" s="349">
        <v>0.41113</v>
      </c>
      <c r="K26" s="349">
        <v>0.60294999999999999</v>
      </c>
      <c r="L26" s="348">
        <v>0.92750999999999995</v>
      </c>
      <c r="M26" s="349">
        <v>1.29891</v>
      </c>
      <c r="N26" s="349">
        <v>2.1671100000000001</v>
      </c>
      <c r="O26" s="349">
        <v>2.66107</v>
      </c>
      <c r="P26" s="349">
        <v>3.85677</v>
      </c>
      <c r="Q26" s="349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57"/>
    </row>
    <row r="27" spans="1:22" ht="12" customHeight="1">
      <c r="A27" s="502">
        <v>11.2</v>
      </c>
      <c r="B27" s="502"/>
      <c r="C27" s="348">
        <v>9.3100000000000006E-3</v>
      </c>
      <c r="D27" s="349">
        <v>2.1760000000000002E-2</v>
      </c>
      <c r="E27" s="349">
        <v>3.406E-2</v>
      </c>
      <c r="F27" s="349">
        <v>5.9560000000000002E-2</v>
      </c>
      <c r="G27" s="349">
        <v>8.8880000000000001E-2</v>
      </c>
      <c r="H27" s="351">
        <v>0.12482</v>
      </c>
      <c r="I27" s="349">
        <v>0.19220000000000001</v>
      </c>
      <c r="J27" s="349">
        <v>0.35269</v>
      </c>
      <c r="K27" s="349">
        <v>0.54127000000000003</v>
      </c>
      <c r="L27" s="348">
        <v>0.80120000000000002</v>
      </c>
      <c r="M27" s="349">
        <v>1.1670400000000001</v>
      </c>
      <c r="N27" s="349">
        <v>1.8137700000000001</v>
      </c>
      <c r="O27" s="349">
        <v>2.2658399999999999</v>
      </c>
      <c r="P27" s="349">
        <v>3.3207499999999999</v>
      </c>
      <c r="Q27" s="349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57"/>
    </row>
    <row r="28" spans="1:22" ht="11.7" customHeight="1">
      <c r="A28" s="502">
        <v>12.5</v>
      </c>
      <c r="B28" s="502"/>
      <c r="C28" s="179" t="s">
        <v>1</v>
      </c>
      <c r="D28" s="82" t="s">
        <v>1</v>
      </c>
      <c r="E28" s="349">
        <v>2.76E-2</v>
      </c>
      <c r="F28" s="82" t="s">
        <v>1</v>
      </c>
      <c r="G28" s="349">
        <v>7.596E-2</v>
      </c>
      <c r="H28" s="324" t="s">
        <v>1</v>
      </c>
      <c r="I28" s="349">
        <v>0.16084999999999999</v>
      </c>
      <c r="J28" s="82" t="s">
        <v>1</v>
      </c>
      <c r="K28" s="349">
        <v>0.45737</v>
      </c>
      <c r="L28" s="179" t="s">
        <v>1</v>
      </c>
      <c r="M28" s="349">
        <v>1.0015499999999999</v>
      </c>
      <c r="N28" s="82" t="s">
        <v>1</v>
      </c>
      <c r="O28" s="349">
        <v>1.8983099999999999</v>
      </c>
      <c r="P28" s="82" t="s">
        <v>1</v>
      </c>
      <c r="Q28" s="349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57"/>
    </row>
    <row r="29" spans="1:22" ht="11.7" customHeight="1">
      <c r="A29" s="500">
        <v>14</v>
      </c>
      <c r="B29" s="500"/>
      <c r="C29" s="179" t="s">
        <v>1</v>
      </c>
      <c r="D29" s="82" t="s">
        <v>1</v>
      </c>
      <c r="E29" s="349">
        <v>2.366E-2</v>
      </c>
      <c r="F29" s="82" t="s">
        <v>1</v>
      </c>
      <c r="G29" s="349">
        <v>6.5659999999999996E-2</v>
      </c>
      <c r="H29" s="324" t="s">
        <v>1</v>
      </c>
      <c r="I29" s="349">
        <v>0.13741</v>
      </c>
      <c r="J29" s="82" t="s">
        <v>1</v>
      </c>
      <c r="K29" s="349">
        <v>0.39227000000000001</v>
      </c>
      <c r="L29" s="179" t="s">
        <v>1</v>
      </c>
      <c r="M29" s="349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57"/>
    </row>
    <row r="30" spans="1:22" ht="12" customHeight="1">
      <c r="A30" s="509" t="s">
        <v>519</v>
      </c>
      <c r="B30" s="509"/>
      <c r="C30" s="295">
        <v>0.02</v>
      </c>
      <c r="D30" s="333">
        <v>4.4999999999999998E-2</v>
      </c>
      <c r="E30" s="333">
        <v>4.4999999999999998E-2</v>
      </c>
      <c r="F30" s="333">
        <v>0.1</v>
      </c>
      <c r="G30" s="333">
        <v>0.1</v>
      </c>
      <c r="H30" s="352">
        <v>0.1</v>
      </c>
      <c r="I30" s="333">
        <v>0.1</v>
      </c>
      <c r="J30" s="333">
        <v>0.28999999999999998</v>
      </c>
      <c r="K30" s="333">
        <v>0.28999999999999998</v>
      </c>
      <c r="L30" s="295">
        <v>0.69</v>
      </c>
      <c r="M30" s="333">
        <v>0.69</v>
      </c>
      <c r="N30" s="333">
        <v>0.69</v>
      </c>
      <c r="O30" s="333">
        <v>0.69</v>
      </c>
      <c r="P30" s="333">
        <v>0.69</v>
      </c>
      <c r="Q30" s="333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61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502">
        <v>12.5</v>
      </c>
      <c r="B36" s="502"/>
      <c r="C36" s="353">
        <v>7.5599999999999999E-3</v>
      </c>
      <c r="D36" s="350">
        <v>1.6150000000000001E-2</v>
      </c>
      <c r="E36" s="337" t="s">
        <v>1</v>
      </c>
      <c r="F36" s="350">
        <v>4.5490000000000003E-2</v>
      </c>
      <c r="G36" s="337" t="s">
        <v>1</v>
      </c>
      <c r="H36" s="354">
        <v>0.10285</v>
      </c>
      <c r="I36" s="337" t="s">
        <v>1</v>
      </c>
      <c r="J36" s="350">
        <v>0.27616000000000002</v>
      </c>
      <c r="K36" s="337" t="s">
        <v>1</v>
      </c>
      <c r="L36" s="353">
        <v>0.61843999999999999</v>
      </c>
      <c r="M36" s="337" t="s">
        <v>1</v>
      </c>
      <c r="N36" s="350">
        <v>1.6971799999999999</v>
      </c>
      <c r="O36" s="337" t="s">
        <v>1</v>
      </c>
      <c r="P36" s="350">
        <v>3.4855999999999998</v>
      </c>
      <c r="Q36" s="337" t="s">
        <v>1</v>
      </c>
      <c r="R36" s="355">
        <v>7.8895999999999997</v>
      </c>
      <c r="S36" s="337" t="s">
        <v>1</v>
      </c>
      <c r="T36" s="356">
        <v>8.3877000000000006</v>
      </c>
      <c r="U36" s="337" t="s">
        <v>1</v>
      </c>
      <c r="V36" s="462" t="s">
        <v>336</v>
      </c>
    </row>
    <row r="37" spans="1:22" ht="11.7" customHeight="1">
      <c r="A37" s="500">
        <v>14</v>
      </c>
      <c r="B37" s="500"/>
      <c r="C37" s="353">
        <v>7.3400000000000002E-3</v>
      </c>
      <c r="D37" s="350">
        <v>1.575E-2</v>
      </c>
      <c r="E37" s="337" t="s">
        <v>1</v>
      </c>
      <c r="F37" s="350">
        <v>4.4549999999999999E-2</v>
      </c>
      <c r="G37" s="337" t="s">
        <v>1</v>
      </c>
      <c r="H37" s="354">
        <v>9.9989999999999996E-2</v>
      </c>
      <c r="I37" s="337" t="s">
        <v>1</v>
      </c>
      <c r="J37" s="350">
        <v>0.26878000000000002</v>
      </c>
      <c r="K37" s="337" t="s">
        <v>1</v>
      </c>
      <c r="L37" s="353">
        <v>0.60536999999999996</v>
      </c>
      <c r="M37" s="337" t="s">
        <v>1</v>
      </c>
      <c r="N37" s="350">
        <v>1.6574</v>
      </c>
      <c r="O37" s="350">
        <v>1.76004</v>
      </c>
      <c r="P37" s="350">
        <v>3.44624</v>
      </c>
      <c r="Q37" s="350">
        <v>3.6042299999999998</v>
      </c>
      <c r="R37" s="355">
        <v>7.7305000000000001</v>
      </c>
      <c r="S37" s="356">
        <v>8.0658999999999992</v>
      </c>
      <c r="T37" s="356">
        <v>8.2186000000000003</v>
      </c>
      <c r="U37" s="356">
        <v>8.6052</v>
      </c>
      <c r="V37" s="463"/>
    </row>
    <row r="38" spans="1:22" ht="12" customHeight="1">
      <c r="A38" s="500">
        <v>16</v>
      </c>
      <c r="B38" s="500"/>
      <c r="C38" s="353">
        <v>6.2300000000000003E-3</v>
      </c>
      <c r="D38" s="350">
        <v>1.371E-2</v>
      </c>
      <c r="E38" s="350">
        <v>1.7500000000000002E-2</v>
      </c>
      <c r="F38" s="350">
        <v>3.7679999999999998E-2</v>
      </c>
      <c r="G38" s="350">
        <v>4.9660000000000003E-2</v>
      </c>
      <c r="H38" s="354">
        <v>8.727E-2</v>
      </c>
      <c r="I38" s="350">
        <v>0.11205</v>
      </c>
      <c r="J38" s="350">
        <v>0.23571</v>
      </c>
      <c r="K38" s="350">
        <v>0.30357000000000001</v>
      </c>
      <c r="L38" s="353">
        <v>0.51600000000000001</v>
      </c>
      <c r="M38" s="350">
        <v>0.66451000000000005</v>
      </c>
      <c r="N38" s="350">
        <v>1.4810300000000001</v>
      </c>
      <c r="O38" s="350">
        <v>1.70973</v>
      </c>
      <c r="P38" s="350">
        <v>3.0669</v>
      </c>
      <c r="Q38" s="350">
        <v>3.5441799999999999</v>
      </c>
      <c r="R38" s="355">
        <v>6.9988999999999999</v>
      </c>
      <c r="S38" s="356">
        <v>7.84</v>
      </c>
      <c r="T38" s="356">
        <v>7.4408000000000003</v>
      </c>
      <c r="U38" s="356">
        <v>8.3643000000000001</v>
      </c>
      <c r="V38" s="463"/>
    </row>
    <row r="39" spans="1:22" ht="11.7" customHeight="1">
      <c r="A39" s="500">
        <v>18</v>
      </c>
      <c r="B39" s="500"/>
      <c r="C39" s="353">
        <v>6.1000000000000004E-3</v>
      </c>
      <c r="D39" s="350">
        <v>1.346E-2</v>
      </c>
      <c r="E39" s="350">
        <v>1.695E-2</v>
      </c>
      <c r="F39" s="350">
        <v>3.7130000000000003E-2</v>
      </c>
      <c r="G39" s="350">
        <v>4.8309999999999999E-2</v>
      </c>
      <c r="H39" s="354">
        <v>8.5500000000000007E-2</v>
      </c>
      <c r="I39" s="350">
        <v>0.1075</v>
      </c>
      <c r="J39" s="350">
        <v>0.23105000000000001</v>
      </c>
      <c r="K39" s="350">
        <v>0.29302</v>
      </c>
      <c r="L39" s="353">
        <v>0.50838000000000005</v>
      </c>
      <c r="M39" s="350">
        <v>0.64617999999999998</v>
      </c>
      <c r="N39" s="350">
        <v>1.45557</v>
      </c>
      <c r="O39" s="350">
        <v>1.5212600000000001</v>
      </c>
      <c r="P39" s="350">
        <v>3.0425200000000001</v>
      </c>
      <c r="Q39" s="350">
        <v>3.1403799999999999</v>
      </c>
      <c r="R39" s="355">
        <v>6.8398000000000003</v>
      </c>
      <c r="S39" s="356">
        <v>6.9560000000000004</v>
      </c>
      <c r="T39" s="356">
        <v>7.2717000000000001</v>
      </c>
      <c r="U39" s="356">
        <v>7.4142000000000001</v>
      </c>
      <c r="V39" s="463"/>
    </row>
    <row r="40" spans="1:22" ht="11.7" customHeight="1">
      <c r="A40" s="500">
        <v>20</v>
      </c>
      <c r="B40" s="500"/>
      <c r="C40" s="353">
        <v>5.6899999999999997E-3</v>
      </c>
      <c r="D40" s="350">
        <v>1.248E-2</v>
      </c>
      <c r="E40" s="350">
        <v>1.4579999999999999E-2</v>
      </c>
      <c r="F40" s="350">
        <v>3.4639999999999997E-2</v>
      </c>
      <c r="G40" s="350">
        <v>4.011E-2</v>
      </c>
      <c r="H40" s="354">
        <v>7.9990000000000006E-2</v>
      </c>
      <c r="I40" s="350">
        <v>9.2969999999999997E-2</v>
      </c>
      <c r="J40" s="350">
        <v>0.21546999999999999</v>
      </c>
      <c r="K40" s="350">
        <v>0.25301000000000001</v>
      </c>
      <c r="L40" s="353">
        <v>0.47566000000000003</v>
      </c>
      <c r="M40" s="350">
        <v>0.54283999999999999</v>
      </c>
      <c r="N40" s="350">
        <v>1.3730899999999999</v>
      </c>
      <c r="O40" s="350">
        <v>1.4890600000000001</v>
      </c>
      <c r="P40" s="350">
        <v>2.88266</v>
      </c>
      <c r="Q40" s="350">
        <v>3.10318</v>
      </c>
      <c r="R40" s="354">
        <v>6.3793600000000001</v>
      </c>
      <c r="S40" s="356">
        <v>6.8399000000000001</v>
      </c>
      <c r="T40" s="350">
        <v>6.79596</v>
      </c>
      <c r="U40" s="356">
        <v>7.2972000000000001</v>
      </c>
      <c r="V40" s="463"/>
    </row>
    <row r="41" spans="1:22" ht="12" customHeight="1">
      <c r="A41" s="502">
        <v>22.4</v>
      </c>
      <c r="B41" s="502"/>
      <c r="C41" s="353">
        <v>5.2700000000000004E-3</v>
      </c>
      <c r="D41" s="350">
        <v>1.157E-2</v>
      </c>
      <c r="E41" s="350">
        <v>1.422E-2</v>
      </c>
      <c r="F41" s="350">
        <v>3.2289999999999999E-2</v>
      </c>
      <c r="G41" s="350">
        <v>3.9329999999999997E-2</v>
      </c>
      <c r="H41" s="354">
        <v>7.3289999999999994E-2</v>
      </c>
      <c r="I41" s="350">
        <v>9.0149999999999994E-2</v>
      </c>
      <c r="J41" s="350">
        <v>0.18296999999999999</v>
      </c>
      <c r="K41" s="350">
        <v>0.24635000000000001</v>
      </c>
      <c r="L41" s="353">
        <v>0.40379999999999999</v>
      </c>
      <c r="M41" s="350">
        <v>0.53215999999999997</v>
      </c>
      <c r="N41" s="350">
        <v>1.1471100000000001</v>
      </c>
      <c r="O41" s="350">
        <v>1.3996599999999999</v>
      </c>
      <c r="P41" s="350">
        <v>2.4300899999999999</v>
      </c>
      <c r="Q41" s="350">
        <v>2.9303499999999998</v>
      </c>
      <c r="R41" s="354">
        <v>5.5015499999999999</v>
      </c>
      <c r="S41" s="350">
        <v>6.4647800000000002</v>
      </c>
      <c r="T41" s="350">
        <v>5.82775</v>
      </c>
      <c r="U41" s="350">
        <v>6.9163699999999997</v>
      </c>
      <c r="V41" s="463"/>
    </row>
    <row r="42" spans="1:22" ht="11.7" customHeight="1">
      <c r="A42" s="500">
        <v>25</v>
      </c>
      <c r="B42" s="500"/>
      <c r="C42" s="353">
        <v>4.5599999999999998E-3</v>
      </c>
      <c r="D42" s="350">
        <v>1.073E-2</v>
      </c>
      <c r="E42" s="350">
        <v>1.308E-2</v>
      </c>
      <c r="F42" s="350">
        <v>2.828E-2</v>
      </c>
      <c r="G42" s="350">
        <v>3.637E-2</v>
      </c>
      <c r="H42" s="354">
        <v>6.0970000000000003E-2</v>
      </c>
      <c r="I42" s="350">
        <v>8.3640000000000006E-2</v>
      </c>
      <c r="J42" s="350">
        <v>0.14674999999999999</v>
      </c>
      <c r="K42" s="350">
        <v>0.22733999999999999</v>
      </c>
      <c r="L42" s="353">
        <v>0.32053999999999999</v>
      </c>
      <c r="M42" s="350">
        <v>0.49435000000000001</v>
      </c>
      <c r="N42" s="350">
        <v>0.90256000000000003</v>
      </c>
      <c r="O42" s="350">
        <v>1.1679200000000001</v>
      </c>
      <c r="P42" s="350">
        <v>1.9209000000000001</v>
      </c>
      <c r="Q42" s="350">
        <v>2.4674299999999998</v>
      </c>
      <c r="R42" s="354">
        <v>4.5719900000000004</v>
      </c>
      <c r="S42" s="350">
        <v>5.5684300000000002</v>
      </c>
      <c r="T42" s="350">
        <v>4.8272599999999999</v>
      </c>
      <c r="U42" s="350">
        <v>5.92204</v>
      </c>
      <c r="V42" s="463"/>
    </row>
    <row r="43" spans="1:22" ht="11.7" customHeight="1">
      <c r="A43" s="500">
        <v>28</v>
      </c>
      <c r="B43" s="500"/>
      <c r="C43" s="353">
        <v>3.9399999999999999E-3</v>
      </c>
      <c r="D43" s="350">
        <v>8.8100000000000001E-3</v>
      </c>
      <c r="E43" s="350">
        <v>1.206E-2</v>
      </c>
      <c r="F43" s="350">
        <v>2.376E-2</v>
      </c>
      <c r="G43" s="350">
        <v>3.3689999999999998E-2</v>
      </c>
      <c r="H43" s="354">
        <v>5.2060000000000002E-2</v>
      </c>
      <c r="I43" s="350">
        <v>7.6329999999999995E-2</v>
      </c>
      <c r="J43" s="350">
        <v>0.12605</v>
      </c>
      <c r="K43" s="350">
        <v>0.19284999999999999</v>
      </c>
      <c r="L43" s="353">
        <v>0.27211999999999997</v>
      </c>
      <c r="M43" s="350">
        <v>0.41936000000000001</v>
      </c>
      <c r="N43" s="350">
        <v>0.77356000000000003</v>
      </c>
      <c r="O43" s="350">
        <v>0.91864000000000001</v>
      </c>
      <c r="P43" s="350">
        <v>1.67696</v>
      </c>
      <c r="Q43" s="350">
        <v>1.9497599999999999</v>
      </c>
      <c r="R43" s="354">
        <v>3.8288099999999998</v>
      </c>
      <c r="S43" s="350">
        <v>4.6243299999999996</v>
      </c>
      <c r="T43" s="350">
        <v>4.0305600000000004</v>
      </c>
      <c r="U43" s="350">
        <v>4.9010499999999997</v>
      </c>
      <c r="V43" s="463"/>
    </row>
    <row r="44" spans="1:22" ht="12" customHeight="1">
      <c r="A44" s="502">
        <v>31.5</v>
      </c>
      <c r="B44" s="502"/>
      <c r="C44" s="353">
        <v>3.3500000000000001E-3</v>
      </c>
      <c r="D44" s="350">
        <v>7.3000000000000001E-3</v>
      </c>
      <c r="E44" s="350">
        <v>1.1089999999999999E-2</v>
      </c>
      <c r="F44" s="350">
        <v>1.9220000000000001E-2</v>
      </c>
      <c r="G44" s="350">
        <v>2.9340000000000001E-2</v>
      </c>
      <c r="H44" s="354">
        <v>4.011E-2</v>
      </c>
      <c r="I44" s="350">
        <v>6.3219999999999998E-2</v>
      </c>
      <c r="J44" s="350">
        <v>9.3890000000000001E-2</v>
      </c>
      <c r="K44" s="350">
        <v>0.15404999999999999</v>
      </c>
      <c r="L44" s="353">
        <v>0.20094000000000001</v>
      </c>
      <c r="M44" s="350">
        <v>0.33202999999999999</v>
      </c>
      <c r="N44" s="350">
        <v>0.56206</v>
      </c>
      <c r="O44" s="350">
        <v>0.78642999999999996</v>
      </c>
      <c r="P44" s="350">
        <v>1.21675</v>
      </c>
      <c r="Q44" s="350">
        <v>1.7000500000000001</v>
      </c>
      <c r="R44" s="354">
        <v>2.8277100000000002</v>
      </c>
      <c r="S44" s="350">
        <v>3.8701699999999999</v>
      </c>
      <c r="T44" s="350">
        <v>2.9840499999999999</v>
      </c>
      <c r="U44" s="350">
        <v>4.0888799999999996</v>
      </c>
      <c r="V44" s="463"/>
    </row>
    <row r="45" spans="1:22" ht="11.7" customHeight="1">
      <c r="A45" s="502">
        <v>35.5</v>
      </c>
      <c r="B45" s="502"/>
      <c r="C45" s="353">
        <v>2.7100000000000002E-3</v>
      </c>
      <c r="D45" s="350">
        <v>5.8599999999999998E-3</v>
      </c>
      <c r="E45" s="350">
        <v>9.11E-3</v>
      </c>
      <c r="F45" s="350">
        <v>1.5679999999999999E-2</v>
      </c>
      <c r="G45" s="350">
        <v>2.4629999999999999E-2</v>
      </c>
      <c r="H45" s="354">
        <v>3.2750000000000001E-2</v>
      </c>
      <c r="I45" s="350">
        <v>5.3900000000000003E-2</v>
      </c>
      <c r="J45" s="350">
        <v>8.4010000000000001E-2</v>
      </c>
      <c r="K45" s="350">
        <v>0.13203000000000001</v>
      </c>
      <c r="L45" s="353">
        <v>0.18235000000000001</v>
      </c>
      <c r="M45" s="350">
        <v>0.28151999999999999</v>
      </c>
      <c r="N45" s="350">
        <v>0.50670000000000004</v>
      </c>
      <c r="O45" s="350">
        <v>0.57203999999999999</v>
      </c>
      <c r="P45" s="350">
        <v>1.0975699999999999</v>
      </c>
      <c r="Q45" s="350">
        <v>1.23465</v>
      </c>
      <c r="R45" s="354">
        <v>2.5698599999999998</v>
      </c>
      <c r="S45" s="350">
        <v>2.8597600000000001</v>
      </c>
      <c r="T45" s="350">
        <v>2.70207</v>
      </c>
      <c r="U45" s="350">
        <v>3.0292400000000002</v>
      </c>
      <c r="V45" s="463"/>
    </row>
    <row r="46" spans="1:22" ht="11.7" customHeight="1">
      <c r="A46" s="500">
        <v>40</v>
      </c>
      <c r="B46" s="500"/>
      <c r="C46" s="353">
        <v>1.9E-3</v>
      </c>
      <c r="D46" s="350">
        <v>4.1599999999999996E-3</v>
      </c>
      <c r="E46" s="350">
        <v>7.5500000000000003E-3</v>
      </c>
      <c r="F46" s="350">
        <v>1.0999999999999999E-2</v>
      </c>
      <c r="G46" s="350">
        <v>1.9959999999999999E-2</v>
      </c>
      <c r="H46" s="354">
        <v>2.6599999999999999E-2</v>
      </c>
      <c r="I46" s="350">
        <v>4.1680000000000002E-2</v>
      </c>
      <c r="J46" s="350">
        <v>7.2249999999999995E-2</v>
      </c>
      <c r="K46" s="350">
        <v>9.8419999999999994E-2</v>
      </c>
      <c r="L46" s="353">
        <v>0.15334999999999999</v>
      </c>
      <c r="M46" s="350">
        <v>0.20805999999999999</v>
      </c>
      <c r="N46" s="350">
        <v>0.43106</v>
      </c>
      <c r="O46" s="350">
        <v>0.51512999999999998</v>
      </c>
      <c r="P46" s="350">
        <v>0.94869000000000003</v>
      </c>
      <c r="Q46" s="350">
        <v>1.1127</v>
      </c>
      <c r="R46" s="354">
        <v>2.1964299999999999</v>
      </c>
      <c r="S46" s="350">
        <v>2.5969699999999998</v>
      </c>
      <c r="T46" s="350">
        <v>2.29704</v>
      </c>
      <c r="U46" s="350">
        <v>2.7402899999999999</v>
      </c>
      <c r="V46" s="463"/>
    </row>
    <row r="47" spans="1:22" ht="12" customHeight="1">
      <c r="A47" s="500">
        <v>45</v>
      </c>
      <c r="B47" s="500"/>
      <c r="C47" s="353">
        <v>1.7700000000000001E-3</v>
      </c>
      <c r="D47" s="350">
        <v>3.9300000000000003E-3</v>
      </c>
      <c r="E47" s="350">
        <v>6.0499999999999998E-3</v>
      </c>
      <c r="F47" s="350">
        <v>9.8399999999999998E-3</v>
      </c>
      <c r="G47" s="350">
        <v>1.6240000000000001E-2</v>
      </c>
      <c r="H47" s="354">
        <v>2.2800000000000001E-2</v>
      </c>
      <c r="I47" s="350">
        <v>3.3930000000000002E-2</v>
      </c>
      <c r="J47" s="350">
        <v>6.2489999999999997E-2</v>
      </c>
      <c r="K47" s="350">
        <v>8.7840000000000001E-2</v>
      </c>
      <c r="L47" s="353">
        <v>0.13099</v>
      </c>
      <c r="M47" s="350">
        <v>0.18837000000000001</v>
      </c>
      <c r="N47" s="350">
        <v>0.36975000000000002</v>
      </c>
      <c r="O47" s="350">
        <v>0.43747999999999998</v>
      </c>
      <c r="P47" s="350">
        <v>0.81933</v>
      </c>
      <c r="Q47" s="350">
        <v>0.96021000000000001</v>
      </c>
      <c r="R47" s="354">
        <v>1.83887</v>
      </c>
      <c r="S47" s="350">
        <v>2.21706</v>
      </c>
      <c r="T47" s="350">
        <v>1.92502</v>
      </c>
      <c r="U47" s="350">
        <v>2.32612</v>
      </c>
      <c r="V47" s="463"/>
    </row>
    <row r="48" spans="1:22" ht="11.7" customHeight="1">
      <c r="A48" s="500">
        <v>50</v>
      </c>
      <c r="B48" s="500"/>
      <c r="C48" s="353">
        <v>1.2899999999999999E-3</v>
      </c>
      <c r="D48" s="350">
        <v>3.0100000000000001E-3</v>
      </c>
      <c r="E48" s="350">
        <v>4.3099999999999996E-3</v>
      </c>
      <c r="F48" s="350">
        <v>8.1200000000000005E-3</v>
      </c>
      <c r="G48" s="350">
        <v>1.1429999999999999E-2</v>
      </c>
      <c r="H48" s="354">
        <v>1.7840000000000002E-2</v>
      </c>
      <c r="I48" s="350">
        <v>2.75E-2</v>
      </c>
      <c r="J48" s="350">
        <v>4.6829999999999997E-2</v>
      </c>
      <c r="K48" s="350">
        <v>7.5160000000000005E-2</v>
      </c>
      <c r="L48" s="353">
        <v>0.10267999999999999</v>
      </c>
      <c r="M48" s="350">
        <v>0.15794</v>
      </c>
      <c r="N48" s="350">
        <v>0.27672999999999998</v>
      </c>
      <c r="O48" s="350">
        <v>0.37524000000000002</v>
      </c>
      <c r="P48" s="350">
        <v>0.57171000000000005</v>
      </c>
      <c r="Q48" s="350">
        <v>0.82918999999999998</v>
      </c>
      <c r="R48" s="354">
        <v>1.4028799999999999</v>
      </c>
      <c r="S48" s="350">
        <v>1.8565400000000001</v>
      </c>
      <c r="T48" s="350">
        <v>1.46929</v>
      </c>
      <c r="U48" s="350">
        <v>1.9499200000000001</v>
      </c>
      <c r="V48" s="463"/>
    </row>
    <row r="49" spans="1:22" ht="11.7" customHeight="1">
      <c r="A49" s="500">
        <v>56</v>
      </c>
      <c r="B49" s="500"/>
      <c r="C49" s="353">
        <v>1.0499999999999999E-3</v>
      </c>
      <c r="D49" s="350">
        <v>2.48E-3</v>
      </c>
      <c r="E49" s="350">
        <v>4.0499999999999998E-3</v>
      </c>
      <c r="F49" s="350">
        <v>6.8199999999999997E-3</v>
      </c>
      <c r="G49" s="350">
        <v>1.0200000000000001E-2</v>
      </c>
      <c r="H49" s="354">
        <v>1.4619999999999999E-2</v>
      </c>
      <c r="I49" s="350">
        <v>2.3570000000000001E-2</v>
      </c>
      <c r="J49" s="350">
        <v>3.85E-2</v>
      </c>
      <c r="K49" s="350">
        <v>6.4979999999999996E-2</v>
      </c>
      <c r="L49" s="353">
        <v>8.5489999999999997E-2</v>
      </c>
      <c r="M49" s="350">
        <v>0.13492000000000001</v>
      </c>
      <c r="N49" s="350">
        <v>0.22863</v>
      </c>
      <c r="O49" s="350">
        <v>0.28095999999999999</v>
      </c>
      <c r="P49" s="350">
        <v>0.46951999999999999</v>
      </c>
      <c r="Q49" s="350">
        <v>0.57930999999999999</v>
      </c>
      <c r="R49" s="354">
        <v>1.14615</v>
      </c>
      <c r="S49" s="350">
        <v>1.4165000000000001</v>
      </c>
      <c r="T49" s="350">
        <v>1.1987099999999999</v>
      </c>
      <c r="U49" s="350">
        <v>1.4884900000000001</v>
      </c>
      <c r="V49" s="463"/>
    </row>
    <row r="50" spans="1:22" ht="12" customHeight="1">
      <c r="A50" s="500">
        <v>63</v>
      </c>
      <c r="B50" s="500"/>
      <c r="C50" s="353">
        <v>8.7000000000000001E-4</v>
      </c>
      <c r="D50" s="350">
        <v>2.0699999999999998E-3</v>
      </c>
      <c r="E50" s="350">
        <v>3.0999999999999999E-3</v>
      </c>
      <c r="F50" s="350">
        <v>5.8900000000000003E-3</v>
      </c>
      <c r="G50" s="350">
        <v>8.3999999999999995E-3</v>
      </c>
      <c r="H50" s="354">
        <v>1.242E-2</v>
      </c>
      <c r="I50" s="350">
        <v>1.8440000000000002E-2</v>
      </c>
      <c r="J50" s="350">
        <v>3.2649999999999998E-2</v>
      </c>
      <c r="K50" s="350">
        <v>4.8759999999999998E-2</v>
      </c>
      <c r="L50" s="353">
        <v>7.2620000000000004E-2</v>
      </c>
      <c r="M50" s="350">
        <v>0.10571</v>
      </c>
      <c r="N50" s="350">
        <v>0.19581999999999999</v>
      </c>
      <c r="O50" s="350">
        <v>0.23197999999999999</v>
      </c>
      <c r="P50" s="350">
        <v>0.40562999999999999</v>
      </c>
      <c r="Q50" s="350">
        <v>0.47553000000000001</v>
      </c>
      <c r="R50" s="354">
        <v>1.04477</v>
      </c>
      <c r="S50" s="350">
        <v>1.15693</v>
      </c>
      <c r="T50" s="350">
        <v>1.0880099999999999</v>
      </c>
      <c r="U50" s="350">
        <v>1.2139</v>
      </c>
      <c r="V50" s="463"/>
    </row>
    <row r="51" spans="1:22" ht="11.7" customHeight="1">
      <c r="A51" s="500">
        <v>71</v>
      </c>
      <c r="B51" s="500"/>
      <c r="C51" s="353">
        <v>6.7000000000000002E-4</v>
      </c>
      <c r="D51" s="350">
        <v>1.57E-3</v>
      </c>
      <c r="E51" s="350">
        <v>2.5600000000000002E-3</v>
      </c>
      <c r="F51" s="350">
        <v>4.6699999999999997E-3</v>
      </c>
      <c r="G51" s="350">
        <v>7.0499999999999998E-3</v>
      </c>
      <c r="H51" s="354">
        <v>9.9699999999999997E-3</v>
      </c>
      <c r="I51" s="350">
        <v>1.5089999999999999E-2</v>
      </c>
      <c r="J51" s="350">
        <v>2.622E-2</v>
      </c>
      <c r="K51" s="350">
        <v>4.002E-2</v>
      </c>
      <c r="L51" s="353">
        <v>5.8659999999999997E-2</v>
      </c>
      <c r="M51" s="350">
        <v>8.7889999999999996E-2</v>
      </c>
      <c r="N51" s="350">
        <v>0.15881000000000001</v>
      </c>
      <c r="O51" s="350">
        <v>0.19858000000000001</v>
      </c>
      <c r="P51" s="350">
        <v>0.33346999999999999</v>
      </c>
      <c r="Q51" s="350">
        <v>0.41058</v>
      </c>
      <c r="R51" s="354">
        <v>0.84653999999999996</v>
      </c>
      <c r="S51" s="350">
        <v>1.0536399999999999</v>
      </c>
      <c r="T51" s="350">
        <v>0.87983</v>
      </c>
      <c r="U51" s="350">
        <v>1.1005</v>
      </c>
      <c r="V51" s="463"/>
    </row>
    <row r="52" spans="1:22" ht="11.7" customHeight="1">
      <c r="A52" s="500">
        <v>80</v>
      </c>
      <c r="B52" s="500"/>
      <c r="C52" s="335" t="s">
        <v>1</v>
      </c>
      <c r="D52" s="337" t="s">
        <v>1</v>
      </c>
      <c r="E52" s="350">
        <v>2.1299999999999999E-3</v>
      </c>
      <c r="F52" s="337" t="s">
        <v>1</v>
      </c>
      <c r="G52" s="350">
        <v>6.0699999999999999E-3</v>
      </c>
      <c r="H52" s="357" t="s">
        <v>1</v>
      </c>
      <c r="I52" s="350">
        <v>1.2800000000000001E-2</v>
      </c>
      <c r="J52" s="337" t="s">
        <v>1</v>
      </c>
      <c r="K52" s="350">
        <v>3.39E-2</v>
      </c>
      <c r="L52" s="335" t="s">
        <v>1</v>
      </c>
      <c r="M52" s="350">
        <v>7.4590000000000004E-2</v>
      </c>
      <c r="N52" s="337" t="s">
        <v>1</v>
      </c>
      <c r="O52" s="350">
        <v>0.16092999999999999</v>
      </c>
      <c r="P52" s="337" t="s">
        <v>1</v>
      </c>
      <c r="Q52" s="350">
        <v>0.33728000000000002</v>
      </c>
      <c r="R52" s="357" t="s">
        <v>1</v>
      </c>
      <c r="S52" s="350">
        <v>0.85336999999999996</v>
      </c>
      <c r="T52" s="337" t="s">
        <v>1</v>
      </c>
      <c r="U52" s="350">
        <v>0.88944999999999996</v>
      </c>
      <c r="V52" s="463"/>
    </row>
    <row r="53" spans="1:22" ht="12" customHeight="1">
      <c r="A53" s="500">
        <v>90</v>
      </c>
      <c r="B53" s="500"/>
      <c r="C53" s="335" t="s">
        <v>1</v>
      </c>
      <c r="D53" s="337" t="s">
        <v>1</v>
      </c>
      <c r="E53" s="350">
        <v>1.6199999999999999E-3</v>
      </c>
      <c r="F53" s="337" t="s">
        <v>1</v>
      </c>
      <c r="G53" s="350">
        <v>4.81E-3</v>
      </c>
      <c r="H53" s="357" t="s">
        <v>1</v>
      </c>
      <c r="I53" s="350">
        <v>1.027E-2</v>
      </c>
      <c r="J53" s="337" t="s">
        <v>1</v>
      </c>
      <c r="K53" s="350">
        <v>2.7189999999999999E-2</v>
      </c>
      <c r="L53" s="335" t="s">
        <v>1</v>
      </c>
      <c r="M53" s="350">
        <v>6.0170000000000001E-2</v>
      </c>
      <c r="N53" s="337" t="s">
        <v>1</v>
      </c>
      <c r="O53" s="337" t="s">
        <v>1</v>
      </c>
      <c r="P53" s="337" t="s">
        <v>1</v>
      </c>
      <c r="Q53" s="337" t="s">
        <v>1</v>
      </c>
      <c r="R53" s="357" t="s">
        <v>1</v>
      </c>
      <c r="S53" s="337" t="s">
        <v>1</v>
      </c>
      <c r="T53" s="337" t="s">
        <v>1</v>
      </c>
      <c r="U53" s="337" t="s">
        <v>1</v>
      </c>
      <c r="V53" s="463"/>
    </row>
    <row r="54" spans="1:22" ht="11.7" customHeight="1">
      <c r="A54" s="512" t="s">
        <v>561</v>
      </c>
      <c r="B54" s="509"/>
      <c r="C54" s="336" t="s">
        <v>562</v>
      </c>
      <c r="D54" s="336">
        <v>0.01</v>
      </c>
      <c r="E54" s="336">
        <v>0.01</v>
      </c>
      <c r="F54" s="336">
        <v>0.02</v>
      </c>
      <c r="G54" s="336">
        <v>0.02</v>
      </c>
      <c r="H54" s="358">
        <v>4.4999999999999998E-2</v>
      </c>
      <c r="I54" s="336">
        <v>4.4999999999999998E-2</v>
      </c>
      <c r="J54" s="336">
        <v>0.1</v>
      </c>
      <c r="K54" s="336">
        <v>0.1</v>
      </c>
      <c r="L54" s="336" t="s">
        <v>560</v>
      </c>
      <c r="M54" s="336">
        <v>0.28999999999999998</v>
      </c>
      <c r="N54" s="336">
        <v>0.28999999999999998</v>
      </c>
      <c r="O54" s="336">
        <v>0.28999999999999998</v>
      </c>
      <c r="P54" s="336">
        <v>0.69</v>
      </c>
      <c r="Q54" s="336">
        <v>0.69</v>
      </c>
      <c r="R54" s="358">
        <v>0.69</v>
      </c>
      <c r="S54" s="336">
        <v>0.69</v>
      </c>
      <c r="T54" s="336">
        <v>0.69</v>
      </c>
      <c r="U54" s="336">
        <v>0.69</v>
      </c>
      <c r="V54" s="464"/>
    </row>
    <row r="55" spans="1:22" ht="11.7" customHeight="1"/>
    <row r="56" spans="1:22" ht="11.7" customHeight="1">
      <c r="A56" s="500">
        <v>80</v>
      </c>
      <c r="B56" s="500"/>
      <c r="C56" s="179" t="s">
        <v>1</v>
      </c>
      <c r="D56" s="349">
        <v>2.3999999999999998E-3</v>
      </c>
      <c r="E56" s="82" t="s">
        <v>1</v>
      </c>
      <c r="F56" s="349">
        <v>5.8900000000000003E-3</v>
      </c>
      <c r="G56" s="82" t="s">
        <v>1</v>
      </c>
      <c r="H56" s="351">
        <v>1.2930000000000001E-2</v>
      </c>
      <c r="I56" s="82" t="s">
        <v>1</v>
      </c>
      <c r="J56" s="349">
        <v>3.5729999999999998E-2</v>
      </c>
      <c r="K56" s="82" t="s">
        <v>1</v>
      </c>
      <c r="L56" s="348">
        <v>8.226E-2</v>
      </c>
      <c r="M56" s="82" t="s">
        <v>1</v>
      </c>
      <c r="N56" s="349">
        <v>0.22212999999999999</v>
      </c>
      <c r="O56" s="82" t="s">
        <v>1</v>
      </c>
      <c r="P56" s="349">
        <v>0.22783</v>
      </c>
      <c r="Q56" s="82" t="s">
        <v>1</v>
      </c>
      <c r="R56" s="351">
        <v>0.49621999999999999</v>
      </c>
      <c r="S56" s="82" t="s">
        <v>1</v>
      </c>
      <c r="T56" s="349">
        <v>1.41079</v>
      </c>
      <c r="U56" s="82" t="s">
        <v>1</v>
      </c>
      <c r="V56" s="456" t="s">
        <v>337</v>
      </c>
    </row>
    <row r="57" spans="1:22" ht="12" customHeight="1">
      <c r="A57" s="500">
        <v>90</v>
      </c>
      <c r="B57" s="500"/>
      <c r="C57" s="179" t="s">
        <v>1</v>
      </c>
      <c r="D57" s="349">
        <v>2.2699999999999999E-3</v>
      </c>
      <c r="E57" s="82" t="s">
        <v>1</v>
      </c>
      <c r="F57" s="349">
        <v>5.4299999999999999E-3</v>
      </c>
      <c r="G57" s="82" t="s">
        <v>1</v>
      </c>
      <c r="H57" s="351">
        <v>1.193E-2</v>
      </c>
      <c r="I57" s="82" t="s">
        <v>1</v>
      </c>
      <c r="J57" s="349">
        <v>3.3169999999999998E-2</v>
      </c>
      <c r="K57" s="82" t="s">
        <v>1</v>
      </c>
      <c r="L57" s="348">
        <v>7.5179999999999997E-2</v>
      </c>
      <c r="M57" s="82" t="s">
        <v>1</v>
      </c>
      <c r="N57" s="349">
        <v>0.18851000000000001</v>
      </c>
      <c r="O57" s="349">
        <v>0.22377</v>
      </c>
      <c r="P57" s="349">
        <v>0.19325999999999999</v>
      </c>
      <c r="Q57" s="349">
        <v>0.23100999999999999</v>
      </c>
      <c r="R57" s="351">
        <v>0.42091000000000001</v>
      </c>
      <c r="S57" s="349">
        <v>0.50136000000000003</v>
      </c>
      <c r="T57" s="349">
        <v>1.1766300000000001</v>
      </c>
      <c r="U57" s="349">
        <v>1.41869</v>
      </c>
      <c r="V57" s="457"/>
    </row>
    <row r="58" spans="1:22" ht="11.7" customHeight="1">
      <c r="A58" s="500">
        <v>100</v>
      </c>
      <c r="B58" s="500"/>
      <c r="C58" s="179" t="s">
        <v>1</v>
      </c>
      <c r="D58" s="349">
        <v>2E-3</v>
      </c>
      <c r="E58" s="349">
        <v>2.4399999999999999E-3</v>
      </c>
      <c r="F58" s="349">
        <v>4.6800000000000001E-3</v>
      </c>
      <c r="G58" s="349">
        <v>6.0000000000000001E-3</v>
      </c>
      <c r="H58" s="351">
        <v>1.0999999999999999E-2</v>
      </c>
      <c r="I58" s="349">
        <v>1.3169999999999999E-2</v>
      </c>
      <c r="J58" s="349">
        <v>2.895E-2</v>
      </c>
      <c r="K58" s="349">
        <v>3.644E-2</v>
      </c>
      <c r="L58" s="348">
        <v>6.2370000000000002E-2</v>
      </c>
      <c r="M58" s="349">
        <v>8.3390000000000006E-2</v>
      </c>
      <c r="N58" s="349">
        <v>0.15085000000000001</v>
      </c>
      <c r="O58" s="349">
        <v>0.18987999999999999</v>
      </c>
      <c r="P58" s="349">
        <v>0.15434999999999999</v>
      </c>
      <c r="Q58" s="349">
        <v>0.19589999999999999</v>
      </c>
      <c r="R58" s="351">
        <v>0.33317999999999998</v>
      </c>
      <c r="S58" s="349">
        <v>0.42519000000000001</v>
      </c>
      <c r="T58" s="349">
        <v>0.92537000000000003</v>
      </c>
      <c r="U58" s="349">
        <v>1.1828099999999999</v>
      </c>
      <c r="V58" s="457"/>
    </row>
    <row r="59" spans="1:22" ht="12" customHeight="1">
      <c r="A59" s="500">
        <v>112</v>
      </c>
      <c r="B59" s="500"/>
      <c r="C59" s="179" t="s">
        <v>1</v>
      </c>
      <c r="D59" s="349">
        <v>1.7600000000000001E-3</v>
      </c>
      <c r="E59" s="349">
        <v>2.3E-3</v>
      </c>
      <c r="F59" s="349">
        <v>4.0400000000000002E-3</v>
      </c>
      <c r="G59" s="349">
        <v>5.5100000000000001E-3</v>
      </c>
      <c r="H59" s="351">
        <v>9.0299999999999998E-3</v>
      </c>
      <c r="I59" s="349">
        <v>1.2120000000000001E-2</v>
      </c>
      <c r="J59" s="349">
        <v>2.4309999999999998E-2</v>
      </c>
      <c r="K59" s="349">
        <v>3.3750000000000002E-2</v>
      </c>
      <c r="L59" s="348">
        <v>5.3199999999999997E-2</v>
      </c>
      <c r="M59" s="349">
        <v>7.6130000000000003E-2</v>
      </c>
      <c r="N59" s="349">
        <v>0.12941</v>
      </c>
      <c r="O59" s="349">
        <v>0.15185000000000001</v>
      </c>
      <c r="P59" s="349">
        <v>0.13227</v>
      </c>
      <c r="Q59" s="349">
        <v>0.15629999999999999</v>
      </c>
      <c r="R59" s="351">
        <v>0.28247</v>
      </c>
      <c r="S59" s="349">
        <v>0.33633000000000002</v>
      </c>
      <c r="T59" s="349">
        <v>0.79181999999999997</v>
      </c>
      <c r="U59" s="349">
        <v>0.93015000000000003</v>
      </c>
      <c r="V59" s="457"/>
    </row>
    <row r="60" spans="1:22" ht="11.7" customHeight="1">
      <c r="A60" s="500">
        <v>125</v>
      </c>
      <c r="B60" s="500"/>
      <c r="C60" s="179" t="s">
        <v>1</v>
      </c>
      <c r="D60" s="349">
        <v>1.4499999999999999E-3</v>
      </c>
      <c r="E60" s="349">
        <v>2.0200000000000001E-3</v>
      </c>
      <c r="F60" s="349">
        <v>3.4399999999999999E-3</v>
      </c>
      <c r="G60" s="349">
        <v>4.7400000000000003E-3</v>
      </c>
      <c r="H60" s="351">
        <v>7.4900000000000001E-3</v>
      </c>
      <c r="I60" s="349">
        <v>1.1140000000000001E-2</v>
      </c>
      <c r="J60" s="349">
        <v>1.9689999999999999E-2</v>
      </c>
      <c r="K60" s="349">
        <v>2.9389999999999999E-2</v>
      </c>
      <c r="L60" s="348">
        <v>4.1079999999999998E-2</v>
      </c>
      <c r="M60" s="349">
        <v>6.3070000000000001E-2</v>
      </c>
      <c r="N60" s="349">
        <v>9.6439999999999998E-2</v>
      </c>
      <c r="O60" s="349">
        <v>0.13023000000000001</v>
      </c>
      <c r="P60" s="349">
        <v>9.8610000000000003E-2</v>
      </c>
      <c r="Q60" s="349">
        <v>0.13386999999999999</v>
      </c>
      <c r="R60" s="351">
        <v>0.20877999999999999</v>
      </c>
      <c r="S60" s="349">
        <v>0.28505000000000003</v>
      </c>
      <c r="T60" s="349">
        <v>0.57621</v>
      </c>
      <c r="U60" s="349">
        <v>0.79564000000000001</v>
      </c>
      <c r="V60" s="457"/>
    </row>
    <row r="61" spans="1:22" ht="11.7" customHeight="1">
      <c r="A61" s="500">
        <v>140</v>
      </c>
      <c r="B61" s="500"/>
      <c r="C61" s="179" t="s">
        <v>1</v>
      </c>
      <c r="D61" s="349">
        <v>1.17E-3</v>
      </c>
      <c r="E61" s="349">
        <v>1.7799999999999999E-3</v>
      </c>
      <c r="F61" s="349">
        <v>2.7799999999999999E-3</v>
      </c>
      <c r="G61" s="349">
        <v>4.0899999999999999E-3</v>
      </c>
      <c r="H61" s="351">
        <v>6.0000000000000001E-3</v>
      </c>
      <c r="I61" s="349">
        <v>9.1500000000000001E-3</v>
      </c>
      <c r="J61" s="349">
        <v>1.6029999999999999E-2</v>
      </c>
      <c r="K61" s="349">
        <v>2.4670000000000001E-2</v>
      </c>
      <c r="L61" s="348">
        <v>3.3480000000000003E-2</v>
      </c>
      <c r="M61" s="349">
        <v>5.3769999999999998E-2</v>
      </c>
      <c r="N61" s="349">
        <v>8.616E-2</v>
      </c>
      <c r="O61" s="349">
        <v>9.7059999999999994E-2</v>
      </c>
      <c r="P61" s="349">
        <v>8.7989999999999999E-2</v>
      </c>
      <c r="Q61" s="349">
        <v>9.9820000000000006E-2</v>
      </c>
      <c r="R61" s="351">
        <v>0.18898000000000001</v>
      </c>
      <c r="S61" s="349">
        <v>0.21073</v>
      </c>
      <c r="T61" s="349">
        <v>0.51866000000000001</v>
      </c>
      <c r="U61" s="349">
        <v>0.57916999999999996</v>
      </c>
      <c r="V61" s="457"/>
    </row>
    <row r="62" spans="1:22" ht="12" customHeight="1">
      <c r="A62" s="500">
        <v>160</v>
      </c>
      <c r="B62" s="500"/>
      <c r="C62" s="179" t="s">
        <v>1</v>
      </c>
      <c r="D62" s="349">
        <v>9.1E-4</v>
      </c>
      <c r="E62" s="349">
        <v>1.47E-3</v>
      </c>
      <c r="F62" s="349">
        <v>1.9499999999999999E-3</v>
      </c>
      <c r="G62" s="349">
        <v>3.48E-3</v>
      </c>
      <c r="H62" s="351">
        <v>4.2700000000000004E-3</v>
      </c>
      <c r="I62" s="349">
        <v>7.5900000000000004E-3</v>
      </c>
      <c r="J62" s="349">
        <v>1.1270000000000001E-2</v>
      </c>
      <c r="K62" s="349">
        <v>1.9990000000000001E-2</v>
      </c>
      <c r="L62" s="348">
        <v>2.716E-2</v>
      </c>
      <c r="M62" s="349">
        <v>4.1570000000000003E-2</v>
      </c>
      <c r="N62" s="349">
        <v>7.3889999999999997E-2</v>
      </c>
      <c r="O62" s="349">
        <v>8.6690000000000003E-2</v>
      </c>
      <c r="P62" s="349">
        <v>7.528E-2</v>
      </c>
      <c r="Q62" s="349">
        <v>8.9020000000000002E-2</v>
      </c>
      <c r="R62" s="351">
        <v>0.15840000000000001</v>
      </c>
      <c r="S62" s="349">
        <v>0.19062999999999999</v>
      </c>
      <c r="T62" s="349">
        <v>0.44016</v>
      </c>
      <c r="U62" s="349">
        <v>0.52117000000000002</v>
      </c>
      <c r="V62" s="457"/>
    </row>
    <row r="63" spans="1:22" ht="11.7" customHeight="1">
      <c r="A63" s="500">
        <v>180</v>
      </c>
      <c r="B63" s="500"/>
      <c r="C63" s="179" t="s">
        <v>1</v>
      </c>
      <c r="D63" s="349">
        <v>8.4999999999999995E-4</v>
      </c>
      <c r="E63" s="349">
        <v>1.1800000000000001E-3</v>
      </c>
      <c r="F63" s="349">
        <v>1.81E-3</v>
      </c>
      <c r="G63" s="349">
        <v>2.81E-3</v>
      </c>
      <c r="H63" s="351">
        <v>4.0200000000000001E-3</v>
      </c>
      <c r="I63" s="349">
        <v>6.0800000000000003E-3</v>
      </c>
      <c r="J63" s="349">
        <v>1.0070000000000001E-2</v>
      </c>
      <c r="K63" s="349">
        <v>1.626E-2</v>
      </c>
      <c r="L63" s="348">
        <v>2.3279999999999999E-2</v>
      </c>
      <c r="M63" s="349">
        <v>3.3849999999999998E-2</v>
      </c>
      <c r="N63" s="349">
        <v>6.3890000000000002E-2</v>
      </c>
      <c r="O63" s="349">
        <v>7.4289999999999995E-2</v>
      </c>
      <c r="P63" s="349">
        <v>6.5089999999999995E-2</v>
      </c>
      <c r="Q63" s="349">
        <v>7.6060000000000003E-2</v>
      </c>
      <c r="R63" s="351">
        <v>0.13531000000000001</v>
      </c>
      <c r="S63" s="349">
        <v>0.15966</v>
      </c>
      <c r="T63" s="349">
        <v>0.37753999999999999</v>
      </c>
      <c r="U63" s="349">
        <v>0.44207000000000002</v>
      </c>
      <c r="V63" s="457"/>
    </row>
    <row r="64" spans="1:22" ht="11.7" customHeight="1">
      <c r="A64" s="500">
        <v>200</v>
      </c>
      <c r="B64" s="500"/>
      <c r="C64" s="179" t="s">
        <v>1</v>
      </c>
      <c r="D64" s="349">
        <v>5.8E-4</v>
      </c>
      <c r="E64" s="349">
        <v>9.2000000000000003E-4</v>
      </c>
      <c r="F64" s="349">
        <v>1.32E-3</v>
      </c>
      <c r="G64" s="349">
        <v>1.98E-3</v>
      </c>
      <c r="H64" s="351">
        <v>3.0799999999999998E-3</v>
      </c>
      <c r="I64" s="349">
        <v>4.3299999999999996E-3</v>
      </c>
      <c r="J64" s="349">
        <v>8.3000000000000001E-3</v>
      </c>
      <c r="K64" s="349">
        <v>1.145E-2</v>
      </c>
      <c r="L64" s="348">
        <v>1.821E-2</v>
      </c>
      <c r="M64" s="349">
        <v>2.7439999999999999E-2</v>
      </c>
      <c r="N64" s="349">
        <v>4.7910000000000001E-2</v>
      </c>
      <c r="O64" s="349">
        <v>6.4229999999999995E-2</v>
      </c>
      <c r="P64" s="349">
        <v>4.8829999999999998E-2</v>
      </c>
      <c r="Q64" s="349">
        <v>6.5750000000000003E-2</v>
      </c>
      <c r="R64" s="351">
        <v>0.10600999999999999</v>
      </c>
      <c r="S64" s="349">
        <v>0.13639000000000001</v>
      </c>
      <c r="T64" s="349">
        <v>0.28272999999999998</v>
      </c>
      <c r="U64" s="349">
        <v>0.37918000000000002</v>
      </c>
      <c r="V64" s="457"/>
    </row>
    <row r="65" spans="1:22" ht="12" customHeight="1">
      <c r="A65" s="500">
        <v>224</v>
      </c>
      <c r="B65" s="500"/>
      <c r="C65" s="179" t="s">
        <v>1</v>
      </c>
      <c r="D65" s="349">
        <v>4.6999999999999999E-4</v>
      </c>
      <c r="E65" s="349">
        <v>8.5999999999999998E-4</v>
      </c>
      <c r="F65" s="349">
        <v>1.08E-3</v>
      </c>
      <c r="G65" s="349">
        <v>1.83E-3</v>
      </c>
      <c r="H65" s="351">
        <v>2.5400000000000002E-3</v>
      </c>
      <c r="I65" s="349">
        <v>4.0699999999999998E-3</v>
      </c>
      <c r="J65" s="349">
        <v>6.96E-3</v>
      </c>
      <c r="K65" s="349">
        <v>1.021E-2</v>
      </c>
      <c r="L65" s="348">
        <v>1.491E-2</v>
      </c>
      <c r="M65" s="349">
        <v>2.3519999999999999E-2</v>
      </c>
      <c r="N65" s="349">
        <v>3.9350000000000003E-2</v>
      </c>
      <c r="O65" s="349">
        <v>4.8180000000000001E-2</v>
      </c>
      <c r="P65" s="349">
        <v>4.0079999999999998E-2</v>
      </c>
      <c r="Q65" s="349">
        <v>4.9349999999999998E-2</v>
      </c>
      <c r="R65" s="351">
        <v>8.813E-2</v>
      </c>
      <c r="S65" s="349">
        <v>0.10684</v>
      </c>
      <c r="T65" s="349">
        <v>0.23338</v>
      </c>
      <c r="U65" s="349">
        <v>0.28399000000000002</v>
      </c>
      <c r="V65" s="457"/>
    </row>
    <row r="66" spans="1:22" ht="11.7" customHeight="1">
      <c r="A66" s="500">
        <v>250</v>
      </c>
      <c r="B66" s="500"/>
      <c r="C66" s="179" t="s">
        <v>1</v>
      </c>
      <c r="D66" s="349">
        <v>4.2999999999999999E-4</v>
      </c>
      <c r="E66" s="349">
        <v>5.8E-4</v>
      </c>
      <c r="F66" s="349">
        <v>8.9999999999999998E-4</v>
      </c>
      <c r="G66" s="349">
        <v>1.34E-3</v>
      </c>
      <c r="H66" s="351">
        <v>2.1099999999999999E-3</v>
      </c>
      <c r="I66" s="349">
        <v>3.1199999999999999E-3</v>
      </c>
      <c r="J66" s="349">
        <v>6.0000000000000001E-3</v>
      </c>
      <c r="K66" s="349">
        <v>8.4100000000000008E-3</v>
      </c>
      <c r="L66" s="348">
        <v>1.2659999999999999E-2</v>
      </c>
      <c r="M66" s="349">
        <v>1.84E-2</v>
      </c>
      <c r="N66" s="349">
        <v>3.3349999999999998E-2</v>
      </c>
      <c r="O66" s="349">
        <v>3.9559999999999998E-2</v>
      </c>
      <c r="P66" s="349">
        <v>3.3950000000000001E-2</v>
      </c>
      <c r="Q66" s="349">
        <v>4.0489999999999998E-2</v>
      </c>
      <c r="R66" s="351">
        <v>7.4789999999999995E-2</v>
      </c>
      <c r="S66" s="349">
        <v>8.8789999999999994E-2</v>
      </c>
      <c r="T66" s="349">
        <v>0.19972999999999999</v>
      </c>
      <c r="U66" s="349">
        <v>0.23438000000000001</v>
      </c>
      <c r="V66" s="457"/>
    </row>
    <row r="67" spans="1:22" ht="11.7" customHeight="1">
      <c r="A67" s="500">
        <v>280</v>
      </c>
      <c r="B67" s="500"/>
      <c r="C67" s="179" t="s">
        <v>1</v>
      </c>
      <c r="D67" s="349">
        <v>3.3E-4</v>
      </c>
      <c r="E67" s="349">
        <v>4.6999999999999999E-4</v>
      </c>
      <c r="F67" s="349">
        <v>6.8999999999999997E-4</v>
      </c>
      <c r="G67" s="349">
        <v>1.09E-3</v>
      </c>
      <c r="H67" s="351">
        <v>1.6000000000000001E-3</v>
      </c>
      <c r="I67" s="349">
        <v>2.5699999999999998E-3</v>
      </c>
      <c r="J67" s="349">
        <v>4.7600000000000003E-3</v>
      </c>
      <c r="K67" s="349">
        <v>7.0499999999999998E-3</v>
      </c>
      <c r="L67" s="348">
        <v>1.0160000000000001E-2</v>
      </c>
      <c r="M67" s="349">
        <v>1.506E-2</v>
      </c>
      <c r="N67" s="349">
        <v>2.6759999999999999E-2</v>
      </c>
      <c r="O67" s="349">
        <v>3.3529999999999997E-2</v>
      </c>
      <c r="P67" s="349">
        <v>2.7230000000000001E-2</v>
      </c>
      <c r="Q67" s="349">
        <v>3.4290000000000001E-2</v>
      </c>
      <c r="R67" s="351">
        <v>6.0319999999999999E-2</v>
      </c>
      <c r="S67" s="349">
        <v>7.5329999999999994E-2</v>
      </c>
      <c r="T67" s="349">
        <v>0.16181000000000001</v>
      </c>
      <c r="U67" s="349">
        <v>0.20055000000000001</v>
      </c>
      <c r="V67" s="457"/>
    </row>
    <row r="68" spans="1:22" ht="12" customHeight="1">
      <c r="A68" s="500">
        <v>315</v>
      </c>
      <c r="B68" s="500"/>
      <c r="C68" s="179" t="s">
        <v>1</v>
      </c>
      <c r="D68" s="349">
        <v>2.7999999999999998E-4</v>
      </c>
      <c r="E68" s="349">
        <v>4.2999999999999999E-4</v>
      </c>
      <c r="F68" s="349">
        <v>5.8E-4</v>
      </c>
      <c r="G68" s="349">
        <v>9.1E-4</v>
      </c>
      <c r="H68" s="351">
        <v>1.3600000000000001E-3</v>
      </c>
      <c r="I68" s="349">
        <v>2.14E-3</v>
      </c>
      <c r="J68" s="349">
        <v>4.0499999999999998E-3</v>
      </c>
      <c r="K68" s="349">
        <v>6.0800000000000003E-3</v>
      </c>
      <c r="L68" s="348">
        <v>8.1200000000000005E-3</v>
      </c>
      <c r="M68" s="349">
        <v>1.278E-2</v>
      </c>
      <c r="N68" s="349">
        <v>2.1690000000000001E-2</v>
      </c>
      <c r="O68" s="349">
        <v>2.69E-2</v>
      </c>
      <c r="P68" s="349">
        <v>2.2069999999999999E-2</v>
      </c>
      <c r="Q68" s="349">
        <v>2.7480000000000001E-2</v>
      </c>
      <c r="R68" s="351">
        <v>4.9340000000000002E-2</v>
      </c>
      <c r="S68" s="349">
        <v>6.0740000000000002E-2</v>
      </c>
      <c r="T68" s="349">
        <v>0.12884999999999999</v>
      </c>
      <c r="U68" s="349">
        <v>0.16245000000000001</v>
      </c>
      <c r="V68" s="457"/>
    </row>
    <row r="69" spans="1:22" ht="11.7" customHeight="1">
      <c r="A69" s="500">
        <v>355</v>
      </c>
      <c r="B69" s="500"/>
      <c r="C69" s="179" t="s">
        <v>1</v>
      </c>
      <c r="D69" s="82" t="s">
        <v>1</v>
      </c>
      <c r="E69" s="349">
        <v>3.4000000000000002E-4</v>
      </c>
      <c r="F69" s="82" t="s">
        <v>1</v>
      </c>
      <c r="G69" s="349">
        <v>6.9999999999999999E-4</v>
      </c>
      <c r="H69" s="324" t="s">
        <v>1</v>
      </c>
      <c r="I69" s="349">
        <v>1.6199999999999999E-3</v>
      </c>
      <c r="J69" s="82" t="s">
        <v>1</v>
      </c>
      <c r="K69" s="349">
        <v>4.8199999999999996E-3</v>
      </c>
      <c r="L69" s="179" t="s">
        <v>1</v>
      </c>
      <c r="M69" s="349">
        <v>1.025E-2</v>
      </c>
      <c r="N69" s="82" t="s">
        <v>1</v>
      </c>
      <c r="O69" s="349">
        <v>2.18E-2</v>
      </c>
      <c r="P69" s="82" t="s">
        <v>1</v>
      </c>
      <c r="Q69" s="349">
        <v>2.2280000000000001E-2</v>
      </c>
      <c r="R69" s="324" t="s">
        <v>1</v>
      </c>
      <c r="S69" s="349">
        <v>4.9680000000000002E-2</v>
      </c>
      <c r="T69" s="82" t="s">
        <v>1</v>
      </c>
      <c r="U69" s="349">
        <v>0.12937000000000001</v>
      </c>
      <c r="V69" s="457"/>
    </row>
    <row r="70" spans="1:22" ht="11.7" customHeight="1">
      <c r="A70" s="503">
        <v>400</v>
      </c>
      <c r="B70" s="503"/>
      <c r="C70" s="362" t="s">
        <v>1</v>
      </c>
      <c r="D70" s="363" t="s">
        <v>1</v>
      </c>
      <c r="E70" s="375">
        <v>2.7999999999999998E-4</v>
      </c>
      <c r="F70" s="363" t="s">
        <v>1</v>
      </c>
      <c r="G70" s="375">
        <v>5.9000000000000003E-4</v>
      </c>
      <c r="H70" s="376" t="s">
        <v>1</v>
      </c>
      <c r="I70" s="375">
        <v>1.3799999999999999E-3</v>
      </c>
      <c r="J70" s="363" t="s">
        <v>1</v>
      </c>
      <c r="K70" s="375">
        <v>4.0899999999999999E-3</v>
      </c>
      <c r="L70" s="362" t="s">
        <v>1</v>
      </c>
      <c r="M70" s="375">
        <v>8.2000000000000007E-3</v>
      </c>
      <c r="N70" s="363" t="s">
        <v>1</v>
      </c>
      <c r="O70" s="363" t="s">
        <v>1</v>
      </c>
      <c r="P70" s="363" t="s">
        <v>1</v>
      </c>
      <c r="Q70" s="363" t="s">
        <v>1</v>
      </c>
      <c r="R70" s="376" t="s">
        <v>1</v>
      </c>
      <c r="S70" s="363" t="s">
        <v>1</v>
      </c>
      <c r="T70" s="363" t="s">
        <v>1</v>
      </c>
      <c r="U70" s="363" t="s">
        <v>1</v>
      </c>
      <c r="V70" s="472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2731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92" t="s">
        <v>8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</row>
    <row r="2" spans="1:15" ht="14.25" customHeight="1">
      <c r="A2" s="593" t="s">
        <v>9</v>
      </c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</row>
    <row r="3" spans="1:15" ht="33.75" customHeight="1">
      <c r="A3" s="449" t="s">
        <v>10</v>
      </c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</row>
    <row r="4" spans="1:15" ht="12.75" customHeight="1">
      <c r="A4" s="450" t="s">
        <v>11</v>
      </c>
      <c r="B4" s="450" t="s">
        <v>12</v>
      </c>
      <c r="C4" s="450"/>
      <c r="D4" s="470" t="s">
        <v>13</v>
      </c>
      <c r="E4" s="454" t="s">
        <v>14</v>
      </c>
      <c r="F4" s="455"/>
      <c r="G4" s="455"/>
      <c r="H4" s="455"/>
      <c r="I4" s="455"/>
      <c r="J4" s="455"/>
      <c r="K4" s="455"/>
      <c r="L4" s="455"/>
      <c r="M4" s="455"/>
    </row>
    <row r="5" spans="1:15" ht="12" customHeight="1">
      <c r="A5" s="452"/>
      <c r="B5" s="452"/>
      <c r="C5" s="452"/>
      <c r="D5" s="471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68">
        <v>1800</v>
      </c>
      <c r="C6" s="468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65">
        <v>1500</v>
      </c>
      <c r="C7" s="465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65">
        <v>1200</v>
      </c>
      <c r="C8" s="465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67">
        <v>1000</v>
      </c>
      <c r="C9" s="467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68">
        <v>1800</v>
      </c>
      <c r="C10" s="468"/>
      <c r="D10" s="36">
        <v>1286</v>
      </c>
      <c r="E10" s="6">
        <v>417</v>
      </c>
      <c r="F10" s="573">
        <v>1104</v>
      </c>
      <c r="G10" s="547" t="s">
        <v>17</v>
      </c>
      <c r="H10" s="547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81"/>
      <c r="B11" s="549">
        <v>1500</v>
      </c>
      <c r="C11" s="549"/>
      <c r="D11" s="557">
        <v>1071</v>
      </c>
      <c r="E11" s="551">
        <v>347</v>
      </c>
      <c r="F11" s="574"/>
      <c r="G11" s="548"/>
      <c r="H11" s="548"/>
      <c r="I11" s="554" t="s">
        <v>1</v>
      </c>
      <c r="J11" s="554" t="s">
        <v>1</v>
      </c>
      <c r="K11" s="554" t="s">
        <v>1</v>
      </c>
      <c r="L11" s="554" t="s">
        <v>1</v>
      </c>
      <c r="M11" s="555" t="s">
        <v>1</v>
      </c>
    </row>
    <row r="12" spans="1:15" ht="9" customHeight="1">
      <c r="A12" s="481"/>
      <c r="B12" s="549"/>
      <c r="C12" s="549"/>
      <c r="D12" s="557"/>
      <c r="E12" s="551"/>
      <c r="F12" s="41">
        <v>919</v>
      </c>
      <c r="G12" s="574">
        <v>1783</v>
      </c>
      <c r="H12" s="574">
        <v>2870</v>
      </c>
      <c r="I12" s="554"/>
      <c r="J12" s="554"/>
      <c r="K12" s="554"/>
      <c r="L12" s="554"/>
      <c r="M12" s="555"/>
    </row>
    <row r="13" spans="1:15" ht="2.5499999999999998" customHeight="1">
      <c r="A13" s="481"/>
      <c r="B13" s="549">
        <v>1200</v>
      </c>
      <c r="C13" s="549"/>
      <c r="D13" s="465">
        <v>857</v>
      </c>
      <c r="E13" s="551">
        <v>278</v>
      </c>
      <c r="F13" s="553">
        <v>735</v>
      </c>
      <c r="G13" s="574"/>
      <c r="H13" s="574"/>
      <c r="I13" s="554" t="s">
        <v>1</v>
      </c>
      <c r="J13" s="554" t="s">
        <v>1</v>
      </c>
      <c r="K13" s="554" t="s">
        <v>1</v>
      </c>
      <c r="L13" s="554" t="s">
        <v>1</v>
      </c>
      <c r="M13" s="555" t="s">
        <v>1</v>
      </c>
    </row>
    <row r="14" spans="1:15" ht="9" customHeight="1">
      <c r="A14" s="481"/>
      <c r="B14" s="549"/>
      <c r="C14" s="549"/>
      <c r="D14" s="465"/>
      <c r="E14" s="551"/>
      <c r="F14" s="553"/>
      <c r="G14" s="41">
        <v>1426</v>
      </c>
      <c r="H14" s="41">
        <v>2297</v>
      </c>
      <c r="I14" s="554"/>
      <c r="J14" s="554"/>
      <c r="K14" s="554"/>
      <c r="L14" s="554"/>
      <c r="M14" s="555"/>
    </row>
    <row r="15" spans="1:15" ht="11.55" customHeight="1">
      <c r="A15" s="45"/>
      <c r="B15" s="467">
        <v>1000</v>
      </c>
      <c r="C15" s="467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68">
        <v>1800</v>
      </c>
      <c r="C16" s="468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65">
        <v>1500</v>
      </c>
      <c r="C17" s="465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65">
        <v>1200</v>
      </c>
      <c r="C18" s="465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67">
        <v>1000</v>
      </c>
      <c r="C19" s="467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68">
        <v>1800</v>
      </c>
      <c r="C20" s="468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65">
        <v>1500</v>
      </c>
      <c r="C21" s="465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65">
        <v>1200</v>
      </c>
      <c r="C22" s="465"/>
      <c r="D22" s="39">
        <v>667</v>
      </c>
      <c r="E22" s="40">
        <v>188</v>
      </c>
      <c r="F22" s="41">
        <v>614</v>
      </c>
      <c r="G22" s="553">
        <v>1215</v>
      </c>
      <c r="H22" s="574">
        <v>1955</v>
      </c>
      <c r="I22" s="574">
        <v>3324</v>
      </c>
      <c r="J22" s="586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81"/>
      <c r="B23" s="549">
        <v>1000</v>
      </c>
      <c r="C23" s="549"/>
      <c r="D23" s="465">
        <v>556</v>
      </c>
      <c r="E23" s="551">
        <v>157</v>
      </c>
      <c r="F23" s="553">
        <v>512</v>
      </c>
      <c r="G23" s="553"/>
      <c r="H23" s="574"/>
      <c r="I23" s="574"/>
      <c r="J23" s="586"/>
      <c r="K23" s="554" t="s">
        <v>1</v>
      </c>
      <c r="L23" s="554" t="s">
        <v>1</v>
      </c>
      <c r="M23" s="555" t="s">
        <v>1</v>
      </c>
    </row>
    <row r="24" spans="1:13" ht="9" customHeight="1">
      <c r="A24" s="482"/>
      <c r="B24" s="556"/>
      <c r="C24" s="556"/>
      <c r="D24" s="467"/>
      <c r="E24" s="579"/>
      <c r="F24" s="575"/>
      <c r="G24" s="48">
        <v>1013</v>
      </c>
      <c r="H24" s="48">
        <v>1630</v>
      </c>
      <c r="I24" s="48">
        <v>2771</v>
      </c>
      <c r="J24" s="48">
        <v>4127</v>
      </c>
      <c r="K24" s="576"/>
      <c r="L24" s="576"/>
      <c r="M24" s="577"/>
    </row>
    <row r="25" spans="1:13" ht="9.75" customHeight="1">
      <c r="A25" s="58">
        <v>2</v>
      </c>
      <c r="B25" s="468">
        <v>1800</v>
      </c>
      <c r="C25" s="468"/>
      <c r="D25" s="36">
        <v>900</v>
      </c>
      <c r="E25" s="6">
        <v>263</v>
      </c>
      <c r="F25" s="12">
        <v>885</v>
      </c>
      <c r="G25" s="547" t="s">
        <v>26</v>
      </c>
      <c r="H25" s="547" t="s">
        <v>27</v>
      </c>
      <c r="I25" s="547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81"/>
      <c r="B26" s="549">
        <v>1500</v>
      </c>
      <c r="C26" s="549"/>
      <c r="D26" s="465">
        <v>750</v>
      </c>
      <c r="E26" s="551">
        <v>219</v>
      </c>
      <c r="F26" s="553">
        <v>738</v>
      </c>
      <c r="G26" s="548"/>
      <c r="H26" s="548"/>
      <c r="I26" s="548"/>
      <c r="J26" s="554" t="s">
        <v>21</v>
      </c>
      <c r="K26" s="554" t="s">
        <v>21</v>
      </c>
      <c r="L26" s="554" t="s">
        <v>1</v>
      </c>
      <c r="M26" s="555" t="s">
        <v>1</v>
      </c>
    </row>
    <row r="27" spans="1:13" ht="9" customHeight="1">
      <c r="A27" s="481"/>
      <c r="B27" s="549"/>
      <c r="C27" s="549"/>
      <c r="D27" s="465"/>
      <c r="E27" s="551"/>
      <c r="F27" s="553"/>
      <c r="G27" s="41">
        <v>1397</v>
      </c>
      <c r="H27" s="41">
        <v>2253</v>
      </c>
      <c r="I27" s="574">
        <v>3856</v>
      </c>
      <c r="J27" s="554"/>
      <c r="K27" s="554"/>
      <c r="L27" s="554"/>
      <c r="M27" s="555"/>
    </row>
    <row r="28" spans="1:13" ht="2.5499999999999998" customHeight="1">
      <c r="A28" s="481"/>
      <c r="B28" s="549">
        <v>1200</v>
      </c>
      <c r="C28" s="549"/>
      <c r="D28" s="465">
        <v>600</v>
      </c>
      <c r="E28" s="551">
        <v>175</v>
      </c>
      <c r="F28" s="553">
        <v>590</v>
      </c>
      <c r="G28" s="553">
        <v>1118</v>
      </c>
      <c r="H28" s="553">
        <v>1803</v>
      </c>
      <c r="I28" s="574"/>
      <c r="J28" s="554"/>
      <c r="K28" s="554" t="s">
        <v>21</v>
      </c>
      <c r="L28" s="554" t="s">
        <v>1</v>
      </c>
      <c r="M28" s="555" t="s">
        <v>1</v>
      </c>
    </row>
    <row r="29" spans="1:13" ht="9" customHeight="1">
      <c r="A29" s="481"/>
      <c r="B29" s="549"/>
      <c r="C29" s="549"/>
      <c r="D29" s="465"/>
      <c r="E29" s="551"/>
      <c r="F29" s="553"/>
      <c r="G29" s="553"/>
      <c r="H29" s="553"/>
      <c r="I29" s="41">
        <v>3084</v>
      </c>
      <c r="J29" s="548" t="s">
        <v>29</v>
      </c>
      <c r="K29" s="554"/>
      <c r="L29" s="554"/>
      <c r="M29" s="555"/>
    </row>
    <row r="30" spans="1:13" ht="2.5499999999999998" customHeight="1">
      <c r="A30" s="481"/>
      <c r="B30" s="549">
        <v>1000</v>
      </c>
      <c r="C30" s="549"/>
      <c r="D30" s="465">
        <v>500</v>
      </c>
      <c r="E30" s="551">
        <v>146</v>
      </c>
      <c r="F30" s="553">
        <v>492</v>
      </c>
      <c r="G30" s="553">
        <v>931</v>
      </c>
      <c r="H30" s="553">
        <v>1502</v>
      </c>
      <c r="I30" s="553">
        <v>2570</v>
      </c>
      <c r="J30" s="548"/>
      <c r="K30" s="554" t="s">
        <v>21</v>
      </c>
      <c r="L30" s="554" t="s">
        <v>1</v>
      </c>
      <c r="M30" s="555" t="s">
        <v>1</v>
      </c>
    </row>
    <row r="31" spans="1:13" ht="9" customHeight="1">
      <c r="A31" s="482"/>
      <c r="B31" s="556"/>
      <c r="C31" s="556"/>
      <c r="D31" s="467"/>
      <c r="E31" s="579"/>
      <c r="F31" s="575"/>
      <c r="G31" s="575"/>
      <c r="H31" s="575"/>
      <c r="I31" s="575"/>
      <c r="J31" s="48">
        <v>3816</v>
      </c>
      <c r="K31" s="576"/>
      <c r="L31" s="576"/>
      <c r="M31" s="577"/>
    </row>
    <row r="32" spans="1:13" ht="9.75" customHeight="1">
      <c r="A32" s="35">
        <v>2.2400000000000002</v>
      </c>
      <c r="B32" s="468">
        <v>1800</v>
      </c>
      <c r="C32" s="468"/>
      <c r="D32" s="36">
        <v>804</v>
      </c>
      <c r="E32" s="6">
        <v>235</v>
      </c>
      <c r="F32" s="12">
        <v>808</v>
      </c>
      <c r="G32" s="10" t="s">
        <v>30</v>
      </c>
      <c r="H32" s="547" t="s">
        <v>31</v>
      </c>
      <c r="I32" s="547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81"/>
      <c r="B33" s="549">
        <v>1500</v>
      </c>
      <c r="C33" s="549"/>
      <c r="D33" s="465">
        <v>670</v>
      </c>
      <c r="E33" s="551">
        <v>196</v>
      </c>
      <c r="F33" s="553">
        <v>673</v>
      </c>
      <c r="G33" s="553">
        <v>1248</v>
      </c>
      <c r="H33" s="548"/>
      <c r="I33" s="548"/>
      <c r="J33" s="554" t="s">
        <v>21</v>
      </c>
      <c r="K33" s="554" t="s">
        <v>21</v>
      </c>
      <c r="L33" s="554" t="s">
        <v>1</v>
      </c>
      <c r="M33" s="555" t="s">
        <v>1</v>
      </c>
    </row>
    <row r="34" spans="1:13" ht="9" customHeight="1">
      <c r="A34" s="481"/>
      <c r="B34" s="549"/>
      <c r="C34" s="549"/>
      <c r="D34" s="465"/>
      <c r="E34" s="551"/>
      <c r="F34" s="553"/>
      <c r="G34" s="553"/>
      <c r="H34" s="41">
        <v>2013</v>
      </c>
      <c r="I34" s="574">
        <v>3549</v>
      </c>
      <c r="J34" s="554"/>
      <c r="K34" s="554"/>
      <c r="L34" s="554"/>
      <c r="M34" s="555"/>
    </row>
    <row r="35" spans="1:13" ht="2.5499999999999998" customHeight="1">
      <c r="A35" s="481"/>
      <c r="B35" s="549">
        <v>1200</v>
      </c>
      <c r="C35" s="549"/>
      <c r="D35" s="465">
        <v>536</v>
      </c>
      <c r="E35" s="551">
        <v>157</v>
      </c>
      <c r="F35" s="553">
        <v>538</v>
      </c>
      <c r="G35" s="553">
        <v>999</v>
      </c>
      <c r="H35" s="553">
        <v>1610</v>
      </c>
      <c r="I35" s="574"/>
      <c r="J35" s="554"/>
      <c r="K35" s="554" t="s">
        <v>21</v>
      </c>
      <c r="L35" s="554" t="s">
        <v>1</v>
      </c>
      <c r="M35" s="555" t="s">
        <v>1</v>
      </c>
    </row>
    <row r="36" spans="1:13" ht="9" customHeight="1">
      <c r="A36" s="481"/>
      <c r="B36" s="549"/>
      <c r="C36" s="549"/>
      <c r="D36" s="465"/>
      <c r="E36" s="551"/>
      <c r="F36" s="553"/>
      <c r="G36" s="553"/>
      <c r="H36" s="553"/>
      <c r="I36" s="41">
        <v>2839</v>
      </c>
      <c r="J36" s="548" t="s">
        <v>33</v>
      </c>
      <c r="K36" s="554"/>
      <c r="L36" s="554"/>
      <c r="M36" s="555"/>
    </row>
    <row r="37" spans="1:13" ht="2.5499999999999998" customHeight="1">
      <c r="A37" s="481"/>
      <c r="B37" s="549">
        <v>1000</v>
      </c>
      <c r="C37" s="549"/>
      <c r="D37" s="465">
        <v>446</v>
      </c>
      <c r="E37" s="551">
        <v>130</v>
      </c>
      <c r="F37" s="553">
        <v>448</v>
      </c>
      <c r="G37" s="553">
        <v>831</v>
      </c>
      <c r="H37" s="553">
        <v>1340</v>
      </c>
      <c r="I37" s="553">
        <v>2363</v>
      </c>
      <c r="J37" s="548"/>
      <c r="K37" s="554" t="s">
        <v>21</v>
      </c>
      <c r="L37" s="554" t="s">
        <v>1</v>
      </c>
      <c r="M37" s="555" t="s">
        <v>1</v>
      </c>
    </row>
    <row r="38" spans="1:13" ht="9" customHeight="1">
      <c r="A38" s="482"/>
      <c r="B38" s="556"/>
      <c r="C38" s="556"/>
      <c r="D38" s="467"/>
      <c r="E38" s="579"/>
      <c r="F38" s="575"/>
      <c r="G38" s="575"/>
      <c r="H38" s="575"/>
      <c r="I38" s="575"/>
      <c r="J38" s="48">
        <v>3511</v>
      </c>
      <c r="K38" s="576"/>
      <c r="L38" s="576"/>
      <c r="M38" s="577"/>
    </row>
    <row r="39" spans="1:13" ht="9.75" customHeight="1">
      <c r="A39" s="51">
        <v>2.5</v>
      </c>
      <c r="B39" s="468">
        <v>1800</v>
      </c>
      <c r="C39" s="468"/>
      <c r="D39" s="36">
        <v>720</v>
      </c>
      <c r="E39" s="6">
        <v>218</v>
      </c>
      <c r="F39" s="12">
        <v>723</v>
      </c>
      <c r="G39" s="10" t="s">
        <v>34</v>
      </c>
      <c r="H39" s="547" t="s">
        <v>35</v>
      </c>
      <c r="I39" s="547" t="s">
        <v>36</v>
      </c>
      <c r="J39" s="589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81"/>
      <c r="B40" s="549">
        <v>1500</v>
      </c>
      <c r="C40" s="549"/>
      <c r="D40" s="465">
        <v>600</v>
      </c>
      <c r="E40" s="551">
        <v>182</v>
      </c>
      <c r="F40" s="553">
        <v>603</v>
      </c>
      <c r="G40" s="553">
        <v>1118</v>
      </c>
      <c r="H40" s="548"/>
      <c r="I40" s="548"/>
      <c r="J40" s="554"/>
      <c r="K40" s="554" t="s">
        <v>21</v>
      </c>
      <c r="L40" s="554" t="s">
        <v>1</v>
      </c>
      <c r="M40" s="555" t="s">
        <v>1</v>
      </c>
    </row>
    <row r="41" spans="1:13" ht="9" customHeight="1">
      <c r="A41" s="481"/>
      <c r="B41" s="549"/>
      <c r="C41" s="549"/>
      <c r="D41" s="465"/>
      <c r="E41" s="551"/>
      <c r="F41" s="553"/>
      <c r="G41" s="553"/>
      <c r="H41" s="41">
        <v>1803</v>
      </c>
      <c r="I41" s="574">
        <v>3179</v>
      </c>
      <c r="J41" s="548" t="s">
        <v>37</v>
      </c>
      <c r="K41" s="554"/>
      <c r="L41" s="554"/>
      <c r="M41" s="555"/>
    </row>
    <row r="42" spans="1:13" ht="2.5499999999999998" customHeight="1">
      <c r="A42" s="481"/>
      <c r="B42" s="549">
        <v>1200</v>
      </c>
      <c r="C42" s="549"/>
      <c r="D42" s="465">
        <v>480</v>
      </c>
      <c r="E42" s="551">
        <v>145</v>
      </c>
      <c r="F42" s="553">
        <v>482</v>
      </c>
      <c r="G42" s="553">
        <v>894</v>
      </c>
      <c r="H42" s="553">
        <v>1442</v>
      </c>
      <c r="I42" s="574"/>
      <c r="J42" s="548"/>
      <c r="K42" s="554" t="s">
        <v>21</v>
      </c>
      <c r="L42" s="554" t="s">
        <v>1</v>
      </c>
      <c r="M42" s="555" t="s">
        <v>1</v>
      </c>
    </row>
    <row r="43" spans="1:13" ht="9" customHeight="1">
      <c r="A43" s="481"/>
      <c r="B43" s="549"/>
      <c r="C43" s="549"/>
      <c r="D43" s="465"/>
      <c r="E43" s="551"/>
      <c r="F43" s="553"/>
      <c r="G43" s="553"/>
      <c r="H43" s="553"/>
      <c r="I43" s="41">
        <v>2543</v>
      </c>
      <c r="J43" s="17" t="s">
        <v>38</v>
      </c>
      <c r="K43" s="554"/>
      <c r="L43" s="554"/>
      <c r="M43" s="555"/>
    </row>
    <row r="44" spans="1:13" ht="11.55" customHeight="1">
      <c r="A44" s="45"/>
      <c r="B44" s="467">
        <v>1000</v>
      </c>
      <c r="C44" s="467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68">
        <v>1800</v>
      </c>
      <c r="C45" s="468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47" t="s">
        <v>41</v>
      </c>
      <c r="J45" s="589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81"/>
      <c r="B46" s="549">
        <v>1500</v>
      </c>
      <c r="C46" s="549"/>
      <c r="D46" s="465">
        <v>536</v>
      </c>
      <c r="E46" s="551">
        <v>173</v>
      </c>
      <c r="F46" s="553">
        <v>538</v>
      </c>
      <c r="G46" s="553">
        <v>959</v>
      </c>
      <c r="H46" s="553">
        <v>1526</v>
      </c>
      <c r="I46" s="548"/>
      <c r="J46" s="554"/>
      <c r="K46" s="554" t="s">
        <v>21</v>
      </c>
      <c r="L46" s="554" t="s">
        <v>21</v>
      </c>
      <c r="M46" s="555" t="s">
        <v>1</v>
      </c>
    </row>
    <row r="47" spans="1:13" ht="9" customHeight="1">
      <c r="A47" s="481"/>
      <c r="B47" s="549"/>
      <c r="C47" s="549"/>
      <c r="D47" s="465"/>
      <c r="E47" s="551"/>
      <c r="F47" s="553"/>
      <c r="G47" s="553"/>
      <c r="H47" s="553"/>
      <c r="I47" s="41">
        <v>2839</v>
      </c>
      <c r="J47" s="548" t="s">
        <v>42</v>
      </c>
      <c r="K47" s="554"/>
      <c r="L47" s="554"/>
      <c r="M47" s="555"/>
    </row>
    <row r="48" spans="1:13" ht="2.5499999999999998" customHeight="1">
      <c r="A48" s="481"/>
      <c r="B48" s="549">
        <v>1200</v>
      </c>
      <c r="C48" s="549"/>
      <c r="D48" s="465">
        <v>429</v>
      </c>
      <c r="E48" s="551">
        <v>139</v>
      </c>
      <c r="F48" s="553">
        <v>431</v>
      </c>
      <c r="G48" s="553">
        <v>768</v>
      </c>
      <c r="H48" s="553">
        <v>1221</v>
      </c>
      <c r="I48" s="553">
        <v>2273</v>
      </c>
      <c r="J48" s="548"/>
      <c r="K48" s="554" t="s">
        <v>21</v>
      </c>
      <c r="L48" s="554" t="s">
        <v>21</v>
      </c>
      <c r="M48" s="555" t="s">
        <v>1</v>
      </c>
    </row>
    <row r="49" spans="1:13" ht="9" customHeight="1">
      <c r="A49" s="481"/>
      <c r="B49" s="549"/>
      <c r="C49" s="549"/>
      <c r="D49" s="465"/>
      <c r="E49" s="551"/>
      <c r="F49" s="553"/>
      <c r="G49" s="553"/>
      <c r="H49" s="553"/>
      <c r="I49" s="553"/>
      <c r="J49" s="17" t="s">
        <v>43</v>
      </c>
      <c r="K49" s="554"/>
      <c r="L49" s="554"/>
      <c r="M49" s="555"/>
    </row>
    <row r="50" spans="1:13" ht="11.55" customHeight="1">
      <c r="A50" s="45"/>
      <c r="B50" s="467">
        <v>1000</v>
      </c>
      <c r="C50" s="467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68">
        <v>1800</v>
      </c>
      <c r="C51" s="468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47" t="s">
        <v>44</v>
      </c>
      <c r="J51" s="547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81"/>
      <c r="B52" s="549">
        <v>1500</v>
      </c>
      <c r="C52" s="549"/>
      <c r="D52" s="465">
        <v>476</v>
      </c>
      <c r="E52" s="551">
        <v>154</v>
      </c>
      <c r="F52" s="553">
        <v>478</v>
      </c>
      <c r="G52" s="553">
        <v>867</v>
      </c>
      <c r="H52" s="553">
        <v>1400</v>
      </c>
      <c r="I52" s="548"/>
      <c r="J52" s="548"/>
      <c r="K52" s="554" t="s">
        <v>21</v>
      </c>
      <c r="L52" s="554" t="s">
        <v>21</v>
      </c>
      <c r="M52" s="555" t="s">
        <v>1</v>
      </c>
    </row>
    <row r="53" spans="1:13" ht="9" customHeight="1">
      <c r="A53" s="481"/>
      <c r="B53" s="549"/>
      <c r="C53" s="549"/>
      <c r="D53" s="465"/>
      <c r="E53" s="551"/>
      <c r="F53" s="553"/>
      <c r="G53" s="553"/>
      <c r="H53" s="553"/>
      <c r="I53" s="41">
        <v>2397</v>
      </c>
      <c r="J53" s="574">
        <v>3643</v>
      </c>
      <c r="K53" s="554"/>
      <c r="L53" s="554"/>
      <c r="M53" s="555"/>
    </row>
    <row r="54" spans="1:13" ht="2.5499999999999998" customHeight="1">
      <c r="A54" s="481"/>
      <c r="B54" s="549">
        <v>1200</v>
      </c>
      <c r="C54" s="549"/>
      <c r="D54" s="465">
        <v>381</v>
      </c>
      <c r="E54" s="551">
        <v>123</v>
      </c>
      <c r="F54" s="553">
        <v>382</v>
      </c>
      <c r="G54" s="553">
        <v>694</v>
      </c>
      <c r="H54" s="553">
        <v>1121</v>
      </c>
      <c r="I54" s="553">
        <v>1918</v>
      </c>
      <c r="J54" s="574"/>
      <c r="K54" s="586" t="s">
        <v>46</v>
      </c>
      <c r="L54" s="554" t="s">
        <v>21</v>
      </c>
      <c r="M54" s="555" t="s">
        <v>1</v>
      </c>
    </row>
    <row r="55" spans="1:13" ht="9" customHeight="1">
      <c r="A55" s="481"/>
      <c r="B55" s="549"/>
      <c r="C55" s="549"/>
      <c r="D55" s="465"/>
      <c r="E55" s="551"/>
      <c r="F55" s="553"/>
      <c r="G55" s="553"/>
      <c r="H55" s="553"/>
      <c r="I55" s="553"/>
      <c r="J55" s="41">
        <v>2916</v>
      </c>
      <c r="K55" s="586"/>
      <c r="L55" s="554"/>
      <c r="M55" s="555"/>
    </row>
    <row r="56" spans="1:13" ht="11.55" customHeight="1">
      <c r="A56" s="45"/>
      <c r="B56" s="467">
        <v>1000</v>
      </c>
      <c r="C56" s="467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68">
        <v>1800</v>
      </c>
      <c r="C57" s="468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47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81"/>
      <c r="B58" s="549">
        <v>1500</v>
      </c>
      <c r="C58" s="549"/>
      <c r="D58" s="465">
        <v>423</v>
      </c>
      <c r="E58" s="551">
        <v>141</v>
      </c>
      <c r="F58" s="553">
        <v>420</v>
      </c>
      <c r="G58" s="553">
        <v>788</v>
      </c>
      <c r="H58" s="553">
        <v>1266</v>
      </c>
      <c r="I58" s="553">
        <v>2223</v>
      </c>
      <c r="J58" s="548"/>
      <c r="K58" s="554" t="s">
        <v>21</v>
      </c>
      <c r="L58" s="554" t="s">
        <v>21</v>
      </c>
      <c r="M58" s="555" t="s">
        <v>1</v>
      </c>
    </row>
    <row r="59" spans="1:13" ht="9" customHeight="1">
      <c r="A59" s="481"/>
      <c r="B59" s="549"/>
      <c r="C59" s="549"/>
      <c r="D59" s="465"/>
      <c r="E59" s="551"/>
      <c r="F59" s="553"/>
      <c r="G59" s="553"/>
      <c r="H59" s="553"/>
      <c r="I59" s="553"/>
      <c r="J59" s="41">
        <v>3295</v>
      </c>
      <c r="K59" s="554"/>
      <c r="L59" s="554"/>
      <c r="M59" s="555"/>
    </row>
    <row r="60" spans="1:13" ht="9.3000000000000007" customHeight="1">
      <c r="A60" s="1"/>
      <c r="B60" s="465">
        <v>1200</v>
      </c>
      <c r="C60" s="465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67">
        <v>1000</v>
      </c>
      <c r="C61" s="467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68">
        <v>1800</v>
      </c>
      <c r="C62" s="468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47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81"/>
      <c r="B63" s="549">
        <v>1500</v>
      </c>
      <c r="C63" s="549"/>
      <c r="D63" s="465">
        <v>375</v>
      </c>
      <c r="E63" s="551">
        <v>125</v>
      </c>
      <c r="F63" s="553">
        <v>376</v>
      </c>
      <c r="G63" s="553">
        <v>698</v>
      </c>
      <c r="H63" s="553">
        <v>1126</v>
      </c>
      <c r="I63" s="553">
        <v>1986</v>
      </c>
      <c r="J63" s="548"/>
      <c r="K63" s="554" t="s">
        <v>21</v>
      </c>
      <c r="L63" s="554" t="s">
        <v>21</v>
      </c>
      <c r="M63" s="555" t="s">
        <v>21</v>
      </c>
    </row>
    <row r="64" spans="1:13" ht="9" customHeight="1">
      <c r="A64" s="481"/>
      <c r="B64" s="549"/>
      <c r="C64" s="549"/>
      <c r="D64" s="465"/>
      <c r="E64" s="551"/>
      <c r="F64" s="553"/>
      <c r="G64" s="553"/>
      <c r="H64" s="553"/>
      <c r="I64" s="553"/>
      <c r="J64" s="41">
        <v>2972</v>
      </c>
      <c r="K64" s="554"/>
      <c r="L64" s="554"/>
      <c r="M64" s="555"/>
    </row>
    <row r="65" spans="1:13" ht="9.3000000000000007" customHeight="1">
      <c r="A65" s="1"/>
      <c r="B65" s="465">
        <v>1200</v>
      </c>
      <c r="C65" s="465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67">
        <v>1000</v>
      </c>
      <c r="C66" s="467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68">
        <v>1800</v>
      </c>
      <c r="C67" s="468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47" t="s">
        <v>54</v>
      </c>
      <c r="L67" s="37" t="s">
        <v>21</v>
      </c>
      <c r="M67" s="38" t="s">
        <v>21</v>
      </c>
    </row>
    <row r="68" spans="1:13" ht="2.5499999999999998" customHeight="1">
      <c r="A68" s="481"/>
      <c r="B68" s="549">
        <v>1500</v>
      </c>
      <c r="C68" s="549"/>
      <c r="D68" s="465">
        <v>333</v>
      </c>
      <c r="E68" s="590">
        <v>87</v>
      </c>
      <c r="F68" s="553">
        <v>268</v>
      </c>
      <c r="G68" s="553">
        <v>550</v>
      </c>
      <c r="H68" s="553">
        <v>857</v>
      </c>
      <c r="I68" s="553">
        <v>1603</v>
      </c>
      <c r="J68" s="553">
        <v>2147</v>
      </c>
      <c r="K68" s="548"/>
      <c r="L68" s="554" t="s">
        <v>21</v>
      </c>
      <c r="M68" s="555" t="s">
        <v>21</v>
      </c>
    </row>
    <row r="69" spans="1:13" ht="9" customHeight="1">
      <c r="A69" s="481"/>
      <c r="B69" s="549"/>
      <c r="C69" s="549"/>
      <c r="D69" s="465"/>
      <c r="E69" s="590"/>
      <c r="F69" s="553"/>
      <c r="G69" s="553"/>
      <c r="H69" s="553"/>
      <c r="I69" s="553"/>
      <c r="J69" s="553"/>
      <c r="K69" s="41">
        <v>3800</v>
      </c>
      <c r="L69" s="554"/>
      <c r="M69" s="555"/>
    </row>
    <row r="70" spans="1:13" ht="9.3000000000000007" customHeight="1">
      <c r="A70" s="1"/>
      <c r="B70" s="465">
        <v>1200</v>
      </c>
      <c r="C70" s="465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67">
        <v>1000</v>
      </c>
      <c r="C71" s="467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68">
        <v>1800</v>
      </c>
      <c r="C72" s="468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47" t="s">
        <v>57</v>
      </c>
      <c r="L72" s="547" t="s">
        <v>58</v>
      </c>
      <c r="M72" s="38" t="s">
        <v>21</v>
      </c>
    </row>
    <row r="73" spans="1:13" ht="2.5499999999999998" customHeight="1">
      <c r="A73" s="481"/>
      <c r="B73" s="549">
        <v>1500</v>
      </c>
      <c r="C73" s="549"/>
      <c r="D73" s="465">
        <v>300</v>
      </c>
      <c r="E73" s="590">
        <v>75</v>
      </c>
      <c r="F73" s="553">
        <v>226</v>
      </c>
      <c r="G73" s="553">
        <v>433</v>
      </c>
      <c r="H73" s="553">
        <v>738</v>
      </c>
      <c r="I73" s="553">
        <v>1215</v>
      </c>
      <c r="J73" s="553">
        <v>1831</v>
      </c>
      <c r="K73" s="548"/>
      <c r="L73" s="548"/>
      <c r="M73" s="555" t="s">
        <v>21</v>
      </c>
    </row>
    <row r="74" spans="1:13" ht="9" customHeight="1">
      <c r="A74" s="481"/>
      <c r="B74" s="549"/>
      <c r="C74" s="549"/>
      <c r="D74" s="465"/>
      <c r="E74" s="590"/>
      <c r="F74" s="553"/>
      <c r="G74" s="553"/>
      <c r="H74" s="553"/>
      <c r="I74" s="553"/>
      <c r="J74" s="553"/>
      <c r="K74" s="41">
        <v>2984</v>
      </c>
      <c r="L74" s="17" t="s">
        <v>59</v>
      </c>
      <c r="M74" s="555"/>
    </row>
    <row r="75" spans="1:13" ht="9.3000000000000007" customHeight="1">
      <c r="A75" s="1"/>
      <c r="B75" s="465">
        <v>1200</v>
      </c>
      <c r="C75" s="465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67">
        <v>1000</v>
      </c>
      <c r="C76" s="467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68">
        <v>1800</v>
      </c>
      <c r="C77" s="468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47" t="s">
        <v>64</v>
      </c>
      <c r="M77" s="38" t="s">
        <v>21</v>
      </c>
    </row>
    <row r="78" spans="1:13" ht="2.5499999999999998" customHeight="1">
      <c r="A78" s="481"/>
      <c r="B78" s="549">
        <v>1500</v>
      </c>
      <c r="C78" s="549"/>
      <c r="D78" s="465">
        <v>268</v>
      </c>
      <c r="E78" s="590">
        <v>64</v>
      </c>
      <c r="F78" s="553">
        <v>193</v>
      </c>
      <c r="G78" s="553">
        <v>367</v>
      </c>
      <c r="H78" s="553">
        <v>564</v>
      </c>
      <c r="I78" s="553">
        <v>1024</v>
      </c>
      <c r="J78" s="553">
        <v>1554</v>
      </c>
      <c r="K78" s="553">
        <v>2536</v>
      </c>
      <c r="L78" s="548"/>
      <c r="M78" s="591" t="s">
        <v>65</v>
      </c>
    </row>
    <row r="79" spans="1:13" ht="9" customHeight="1">
      <c r="A79" s="481"/>
      <c r="B79" s="549"/>
      <c r="C79" s="549"/>
      <c r="D79" s="465"/>
      <c r="E79" s="590"/>
      <c r="F79" s="553"/>
      <c r="G79" s="553"/>
      <c r="H79" s="553"/>
      <c r="I79" s="553"/>
      <c r="J79" s="553"/>
      <c r="K79" s="553"/>
      <c r="L79" s="17" t="s">
        <v>66</v>
      </c>
      <c r="M79" s="591"/>
    </row>
    <row r="80" spans="1:13" ht="9.3000000000000007" customHeight="1">
      <c r="A80" s="1"/>
      <c r="B80" s="465">
        <v>1200</v>
      </c>
      <c r="C80" s="465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65">
        <v>1000</v>
      </c>
      <c r="C81" s="465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49" t="s">
        <v>68</v>
      </c>
      <c r="B83" s="449"/>
      <c r="C83" s="449"/>
      <c r="D83" s="449"/>
      <c r="E83" s="449"/>
      <c r="F83" s="449"/>
      <c r="G83" s="449"/>
      <c r="H83" s="449"/>
      <c r="I83" s="449"/>
      <c r="J83" s="449"/>
      <c r="K83" s="449"/>
      <c r="L83" s="449"/>
      <c r="M83" s="449"/>
      <c r="N83" s="449"/>
      <c r="O83" s="449"/>
      <c r="P83" s="449"/>
      <c r="Q83" s="449"/>
      <c r="R83" s="449"/>
      <c r="S83" s="449"/>
      <c r="T83" s="449"/>
      <c r="U83" s="449"/>
      <c r="V83" s="449"/>
      <c r="W83" s="449"/>
      <c r="X83" s="449"/>
    </row>
    <row r="84" spans="1:24" ht="11.25" customHeight="1">
      <c r="A84" s="451" t="s">
        <v>69</v>
      </c>
      <c r="B84" s="454" t="s">
        <v>14</v>
      </c>
      <c r="C84" s="455"/>
      <c r="D84" s="455"/>
      <c r="E84" s="455"/>
      <c r="F84" s="455"/>
      <c r="G84" s="455"/>
      <c r="H84" s="455"/>
      <c r="I84" s="455"/>
      <c r="J84" s="455"/>
      <c r="K84" s="455"/>
      <c r="L84" s="455"/>
      <c r="M84" s="455"/>
      <c r="N84" s="455"/>
      <c r="O84" s="455"/>
      <c r="P84" s="455"/>
      <c r="Q84" s="455"/>
      <c r="R84" s="455"/>
      <c r="S84" s="455"/>
      <c r="T84" s="455"/>
      <c r="U84" s="455"/>
      <c r="V84" s="455"/>
    </row>
    <row r="85" spans="1:24" ht="11.25" customHeight="1">
      <c r="A85" s="453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58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59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59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59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59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59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59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59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59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59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59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59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59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59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60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56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57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57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57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57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57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57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57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57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57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61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62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63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63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63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63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63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63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63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63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63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63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63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64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56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57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57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57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57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57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57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57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57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57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57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57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57"/>
    </row>
    <row r="140" spans="1:22" ht="40.799999999999997" customHeight="1">
      <c r="A140" s="449" t="s">
        <v>74</v>
      </c>
      <c r="B140" s="449"/>
      <c r="C140" s="449"/>
      <c r="D140" s="449"/>
      <c r="E140" s="449"/>
      <c r="F140" s="449"/>
      <c r="G140" s="449"/>
      <c r="H140" s="449"/>
      <c r="I140" s="449"/>
      <c r="J140" s="449"/>
      <c r="K140" s="449"/>
      <c r="L140" s="449"/>
    </row>
    <row r="141" spans="1:22" ht="12.3" customHeight="1">
      <c r="A141" s="450" t="s">
        <v>69</v>
      </c>
      <c r="B141" s="451"/>
      <c r="C141" s="454" t="s">
        <v>14</v>
      </c>
      <c r="D141" s="455"/>
      <c r="E141" s="455"/>
      <c r="F141" s="455"/>
      <c r="G141" s="455"/>
      <c r="H141" s="455"/>
      <c r="I141" s="455"/>
      <c r="J141" s="455"/>
      <c r="K141" s="455"/>
    </row>
    <row r="142" spans="1:22" ht="9" customHeight="1">
      <c r="A142" s="452"/>
      <c r="B142" s="453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58" t="s">
        <v>75</v>
      </c>
      <c r="B143" s="558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81" t="s">
        <v>3</v>
      </c>
      <c r="B144" s="581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62" t="s">
        <v>4</v>
      </c>
      <c r="B145" s="562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80" t="s">
        <v>6</v>
      </c>
      <c r="B146" s="580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58" t="s">
        <v>76</v>
      </c>
      <c r="B147" s="558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81" t="s">
        <v>3</v>
      </c>
      <c r="B148" s="581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62" t="s">
        <v>4</v>
      </c>
      <c r="B149" s="562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80" t="s">
        <v>6</v>
      </c>
      <c r="B150" s="580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58" t="s">
        <v>77</v>
      </c>
      <c r="B151" s="558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81" t="s">
        <v>3</v>
      </c>
      <c r="B152" s="581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62" t="s">
        <v>4</v>
      </c>
      <c r="B153" s="562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80" t="s">
        <v>6</v>
      </c>
      <c r="B154" s="580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58" t="s">
        <v>78</v>
      </c>
      <c r="B155" s="558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81" t="s">
        <v>3</v>
      </c>
      <c r="B156" s="581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62" t="s">
        <v>4</v>
      </c>
      <c r="B157" s="562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80" t="s">
        <v>6</v>
      </c>
      <c r="B158" s="580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58" t="s">
        <v>79</v>
      </c>
      <c r="B159" s="558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81" t="s">
        <v>3</v>
      </c>
      <c r="B160" s="581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62" t="s">
        <v>4</v>
      </c>
      <c r="B161" s="562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80" t="s">
        <v>6</v>
      </c>
      <c r="B162" s="580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58" t="s">
        <v>80</v>
      </c>
      <c r="B163" s="558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81" t="s">
        <v>3</v>
      </c>
      <c r="B164" s="581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62" t="s">
        <v>4</v>
      </c>
      <c r="B165" s="562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80" t="s">
        <v>6</v>
      </c>
      <c r="B166" s="580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58" t="s">
        <v>81</v>
      </c>
      <c r="B167" s="558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81" t="s">
        <v>3</v>
      </c>
      <c r="B168" s="581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62" t="s">
        <v>4</v>
      </c>
      <c r="B169" s="562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80" t="s">
        <v>6</v>
      </c>
      <c r="B170" s="580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58" t="s">
        <v>82</v>
      </c>
      <c r="B171" s="558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81" t="s">
        <v>3</v>
      </c>
      <c r="B172" s="581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62" t="s">
        <v>4</v>
      </c>
      <c r="B173" s="562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80" t="s">
        <v>6</v>
      </c>
      <c r="B174" s="580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58" t="s">
        <v>83</v>
      </c>
      <c r="B175" s="558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81" t="s">
        <v>3</v>
      </c>
      <c r="B176" s="581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62" t="s">
        <v>4</v>
      </c>
      <c r="B177" s="562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80" t="s">
        <v>6</v>
      </c>
      <c r="B178" s="580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58" t="s">
        <v>84</v>
      </c>
      <c r="B179" s="558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81" t="s">
        <v>3</v>
      </c>
      <c r="B180" s="581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62" t="s">
        <v>4</v>
      </c>
      <c r="B181" s="562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80" t="s">
        <v>6</v>
      </c>
      <c r="B182" s="580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58" t="s">
        <v>85</v>
      </c>
      <c r="B183" s="558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81" t="s">
        <v>3</v>
      </c>
      <c r="B184" s="581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62" t="s">
        <v>4</v>
      </c>
      <c r="B185" s="562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80" t="s">
        <v>6</v>
      </c>
      <c r="B186" s="580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58" t="s">
        <v>86</v>
      </c>
      <c r="B187" s="558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81" t="s">
        <v>3</v>
      </c>
      <c r="B188" s="581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62" t="s">
        <v>4</v>
      </c>
      <c r="B189" s="562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80" t="s">
        <v>6</v>
      </c>
      <c r="B190" s="580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58" t="s">
        <v>87</v>
      </c>
      <c r="B191" s="558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81" t="s">
        <v>3</v>
      </c>
      <c r="B192" s="581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62" t="s">
        <v>4</v>
      </c>
      <c r="B193" s="562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80" t="s">
        <v>6</v>
      </c>
      <c r="B194" s="580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58" t="s">
        <v>88</v>
      </c>
      <c r="B195" s="558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81" t="s">
        <v>3</v>
      </c>
      <c r="B196" s="581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62" t="s">
        <v>4</v>
      </c>
      <c r="B197" s="562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62" t="s">
        <v>6</v>
      </c>
      <c r="B198" s="562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49" t="s">
        <v>89</v>
      </c>
      <c r="B200" s="449"/>
      <c r="C200" s="449"/>
      <c r="D200" s="449"/>
      <c r="E200" s="449"/>
      <c r="F200" s="449"/>
      <c r="G200" s="449"/>
      <c r="H200" s="449"/>
      <c r="I200" s="449"/>
      <c r="J200" s="449"/>
      <c r="K200" s="449"/>
      <c r="L200" s="449"/>
    </row>
    <row r="201" spans="1:12" ht="12.3" customHeight="1">
      <c r="A201" s="450" t="s">
        <v>69</v>
      </c>
      <c r="B201" s="451"/>
      <c r="C201" s="454" t="s">
        <v>14</v>
      </c>
      <c r="D201" s="455"/>
      <c r="E201" s="455"/>
      <c r="F201" s="455"/>
      <c r="G201" s="455"/>
      <c r="H201" s="455"/>
      <c r="I201" s="455"/>
      <c r="J201" s="455"/>
      <c r="K201" s="455"/>
    </row>
    <row r="202" spans="1:12" ht="9" customHeight="1">
      <c r="A202" s="452"/>
      <c r="B202" s="453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58" t="s">
        <v>75</v>
      </c>
      <c r="B203" s="558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81" t="s">
        <v>3</v>
      </c>
      <c r="B204" s="581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62" t="s">
        <v>4</v>
      </c>
      <c r="B205" s="562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80" t="s">
        <v>6</v>
      </c>
      <c r="B206" s="580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58" t="s">
        <v>76</v>
      </c>
      <c r="B207" s="558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81" t="s">
        <v>3</v>
      </c>
      <c r="B208" s="581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62" t="s">
        <v>4</v>
      </c>
      <c r="B209" s="562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80" t="s">
        <v>6</v>
      </c>
      <c r="B210" s="580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58" t="s">
        <v>77</v>
      </c>
      <c r="B211" s="558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81" t="s">
        <v>3</v>
      </c>
      <c r="B212" s="581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62" t="s">
        <v>4</v>
      </c>
      <c r="B213" s="562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80" t="s">
        <v>6</v>
      </c>
      <c r="B214" s="580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58" t="s">
        <v>78</v>
      </c>
      <c r="B215" s="558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81" t="s">
        <v>3</v>
      </c>
      <c r="B216" s="581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62" t="s">
        <v>4</v>
      </c>
      <c r="B217" s="562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80" t="s">
        <v>6</v>
      </c>
      <c r="B218" s="580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58" t="s">
        <v>79</v>
      </c>
      <c r="B219" s="558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81" t="s">
        <v>3</v>
      </c>
      <c r="B220" s="581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62" t="s">
        <v>4</v>
      </c>
      <c r="B221" s="562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80" t="s">
        <v>6</v>
      </c>
      <c r="B222" s="580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58" t="s">
        <v>80</v>
      </c>
      <c r="B223" s="558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81" t="s">
        <v>3</v>
      </c>
      <c r="B224" s="581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62" t="s">
        <v>4</v>
      </c>
      <c r="B225" s="562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80" t="s">
        <v>6</v>
      </c>
      <c r="B226" s="580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58" t="s">
        <v>81</v>
      </c>
      <c r="B227" s="558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81" t="s">
        <v>3</v>
      </c>
      <c r="B228" s="581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62" t="s">
        <v>4</v>
      </c>
      <c r="B229" s="562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80" t="s">
        <v>6</v>
      </c>
      <c r="B230" s="580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58" t="s">
        <v>82</v>
      </c>
      <c r="B231" s="558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81" t="s">
        <v>3</v>
      </c>
      <c r="B232" s="581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62" t="s">
        <v>4</v>
      </c>
      <c r="B233" s="562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80" t="s">
        <v>6</v>
      </c>
      <c r="B234" s="580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58" t="s">
        <v>83</v>
      </c>
      <c r="B235" s="558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81" t="s">
        <v>3</v>
      </c>
      <c r="B236" s="581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62" t="s">
        <v>4</v>
      </c>
      <c r="B237" s="562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80" t="s">
        <v>6</v>
      </c>
      <c r="B238" s="580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58" t="s">
        <v>84</v>
      </c>
      <c r="B239" s="558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81" t="s">
        <v>3</v>
      </c>
      <c r="B240" s="581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62" t="s">
        <v>4</v>
      </c>
      <c r="B241" s="562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80" t="s">
        <v>6</v>
      </c>
      <c r="B242" s="580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58" t="s">
        <v>85</v>
      </c>
      <c r="B243" s="558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81" t="s">
        <v>3</v>
      </c>
      <c r="B244" s="581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62" t="s">
        <v>4</v>
      </c>
      <c r="B245" s="562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80" t="s">
        <v>6</v>
      </c>
      <c r="B246" s="580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88" t="s">
        <v>86</v>
      </c>
      <c r="B247" s="558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81" t="s">
        <v>3</v>
      </c>
      <c r="B248" s="581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62" t="s">
        <v>4</v>
      </c>
      <c r="B249" s="562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80" t="s">
        <v>6</v>
      </c>
      <c r="B250" s="580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58" t="s">
        <v>87</v>
      </c>
      <c r="B251" s="558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81" t="s">
        <v>3</v>
      </c>
      <c r="B252" s="581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62" t="s">
        <v>4</v>
      </c>
      <c r="B253" s="562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80" t="s">
        <v>6</v>
      </c>
      <c r="B254" s="580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58" t="s">
        <v>88</v>
      </c>
      <c r="B255" s="558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81" t="s">
        <v>3</v>
      </c>
      <c r="B256" s="581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62" t="s">
        <v>4</v>
      </c>
      <c r="B257" s="562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62" t="s">
        <v>6</v>
      </c>
      <c r="B258" s="562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49" t="s">
        <v>90</v>
      </c>
      <c r="B260" s="449"/>
      <c r="C260" s="449"/>
      <c r="D260" s="449"/>
      <c r="E260" s="449"/>
      <c r="F260" s="449"/>
      <c r="G260" s="449"/>
      <c r="H260" s="449"/>
      <c r="I260" s="449"/>
      <c r="J260" s="449"/>
      <c r="K260" s="449"/>
      <c r="L260" s="449"/>
    </row>
    <row r="261" spans="1:12" ht="12.3" customHeight="1">
      <c r="A261" s="450" t="s">
        <v>69</v>
      </c>
      <c r="B261" s="451"/>
      <c r="C261" s="454" t="s">
        <v>14</v>
      </c>
      <c r="D261" s="455"/>
      <c r="E261" s="455"/>
      <c r="F261" s="455"/>
      <c r="G261" s="455"/>
      <c r="H261" s="455"/>
      <c r="I261" s="455"/>
      <c r="J261" s="455"/>
      <c r="K261" s="455"/>
    </row>
    <row r="262" spans="1:12" ht="9" customHeight="1">
      <c r="A262" s="452"/>
      <c r="B262" s="453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58" t="s">
        <v>75</v>
      </c>
      <c r="B263" s="558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49" t="s">
        <v>3</v>
      </c>
      <c r="B264" s="449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62" t="s">
        <v>4</v>
      </c>
      <c r="B265" s="562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80" t="s">
        <v>6</v>
      </c>
      <c r="B266" s="580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58" t="s">
        <v>76</v>
      </c>
      <c r="B267" s="558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49" t="s">
        <v>3</v>
      </c>
      <c r="B268" s="449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62" t="s">
        <v>4</v>
      </c>
      <c r="B269" s="562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80" t="s">
        <v>6</v>
      </c>
      <c r="B270" s="580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58" t="s">
        <v>77</v>
      </c>
      <c r="B271" s="558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49" t="s">
        <v>3</v>
      </c>
      <c r="B272" s="449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62" t="s">
        <v>4</v>
      </c>
      <c r="B273" s="562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80" t="s">
        <v>6</v>
      </c>
      <c r="B274" s="580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58" t="s">
        <v>78</v>
      </c>
      <c r="B275" s="558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49" t="s">
        <v>3</v>
      </c>
      <c r="B276" s="449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62" t="s">
        <v>4</v>
      </c>
      <c r="B277" s="562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80" t="s">
        <v>6</v>
      </c>
      <c r="B278" s="580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58" t="s">
        <v>79</v>
      </c>
      <c r="B279" s="558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49" t="s">
        <v>3</v>
      </c>
      <c r="B280" s="449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62" t="s">
        <v>4</v>
      </c>
      <c r="B281" s="562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80" t="s">
        <v>6</v>
      </c>
      <c r="B282" s="580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58" t="s">
        <v>80</v>
      </c>
      <c r="B283" s="558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49" t="s">
        <v>3</v>
      </c>
      <c r="B284" s="449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62" t="s">
        <v>4</v>
      </c>
      <c r="B285" s="562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80" t="s">
        <v>6</v>
      </c>
      <c r="B286" s="580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58" t="s">
        <v>81</v>
      </c>
      <c r="B287" s="558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49" t="s">
        <v>3</v>
      </c>
      <c r="B288" s="449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62" t="s">
        <v>4</v>
      </c>
      <c r="B289" s="562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80" t="s">
        <v>6</v>
      </c>
      <c r="B290" s="580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58" t="s">
        <v>82</v>
      </c>
      <c r="B291" s="558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49" t="s">
        <v>3</v>
      </c>
      <c r="B292" s="449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62" t="s">
        <v>4</v>
      </c>
      <c r="B293" s="562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80" t="s">
        <v>6</v>
      </c>
      <c r="B294" s="580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58" t="s">
        <v>83</v>
      </c>
      <c r="B295" s="558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49" t="s">
        <v>3</v>
      </c>
      <c r="B296" s="449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62" t="s">
        <v>4</v>
      </c>
      <c r="B297" s="562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80" t="s">
        <v>6</v>
      </c>
      <c r="B298" s="580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58" t="s">
        <v>84</v>
      </c>
      <c r="B299" s="558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49" t="s">
        <v>3</v>
      </c>
      <c r="B300" s="449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62" t="s">
        <v>4</v>
      </c>
      <c r="B301" s="562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80" t="s">
        <v>6</v>
      </c>
      <c r="B302" s="580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58" t="s">
        <v>85</v>
      </c>
      <c r="B303" s="558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49" t="s">
        <v>3</v>
      </c>
      <c r="B304" s="449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62" t="s">
        <v>4</v>
      </c>
      <c r="B305" s="562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80" t="s">
        <v>6</v>
      </c>
      <c r="B306" s="580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58" t="s">
        <v>86</v>
      </c>
      <c r="B307" s="558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49" t="s">
        <v>3</v>
      </c>
      <c r="B308" s="449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62" t="s">
        <v>4</v>
      </c>
      <c r="B309" s="562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80" t="s">
        <v>6</v>
      </c>
      <c r="B310" s="580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58" t="s">
        <v>87</v>
      </c>
      <c r="B311" s="558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49" t="s">
        <v>3</v>
      </c>
      <c r="B312" s="449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62" t="s">
        <v>4</v>
      </c>
      <c r="B313" s="562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80" t="s">
        <v>6</v>
      </c>
      <c r="B314" s="580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58" t="s">
        <v>88</v>
      </c>
      <c r="B315" s="558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49" t="s">
        <v>3</v>
      </c>
      <c r="B316" s="449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62" t="s">
        <v>4</v>
      </c>
      <c r="B317" s="562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62" t="s">
        <v>6</v>
      </c>
      <c r="B318" s="562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49" t="s">
        <v>91</v>
      </c>
      <c r="B320" s="449"/>
      <c r="C320" s="449"/>
      <c r="D320" s="449"/>
      <c r="E320" s="449"/>
      <c r="F320" s="449"/>
      <c r="G320" s="449"/>
      <c r="H320" s="449"/>
      <c r="I320" s="449"/>
      <c r="J320" s="449"/>
      <c r="K320" s="449"/>
      <c r="L320" s="449"/>
    </row>
    <row r="321" spans="1:11" ht="12.3" customHeight="1">
      <c r="A321" s="450" t="s">
        <v>69</v>
      </c>
      <c r="B321" s="451"/>
      <c r="C321" s="454" t="s">
        <v>14</v>
      </c>
      <c r="D321" s="455"/>
      <c r="E321" s="455"/>
      <c r="F321" s="455"/>
      <c r="G321" s="455"/>
      <c r="H321" s="455"/>
      <c r="I321" s="455"/>
      <c r="J321" s="455"/>
      <c r="K321" s="455"/>
    </row>
    <row r="322" spans="1:11" ht="9" customHeight="1">
      <c r="A322" s="452"/>
      <c r="B322" s="453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58" t="s">
        <v>75</v>
      </c>
      <c r="B323" s="558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81" t="s">
        <v>3</v>
      </c>
      <c r="B324" s="581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62" t="s">
        <v>4</v>
      </c>
      <c r="B325" s="562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80" t="s">
        <v>6</v>
      </c>
      <c r="B326" s="580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58" t="s">
        <v>76</v>
      </c>
      <c r="B327" s="558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81" t="s">
        <v>3</v>
      </c>
      <c r="B328" s="581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62" t="s">
        <v>4</v>
      </c>
      <c r="B329" s="562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80" t="s">
        <v>6</v>
      </c>
      <c r="B330" s="580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58" t="s">
        <v>77</v>
      </c>
      <c r="B331" s="558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81" t="s">
        <v>3</v>
      </c>
      <c r="B332" s="581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62" t="s">
        <v>4</v>
      </c>
      <c r="B333" s="562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80" t="s">
        <v>6</v>
      </c>
      <c r="B334" s="580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58" t="s">
        <v>78</v>
      </c>
      <c r="B335" s="558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81" t="s">
        <v>3</v>
      </c>
      <c r="B336" s="581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62" t="s">
        <v>4</v>
      </c>
      <c r="B337" s="562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80" t="s">
        <v>6</v>
      </c>
      <c r="B338" s="580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58" t="s">
        <v>79</v>
      </c>
      <c r="B339" s="558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81" t="s">
        <v>3</v>
      </c>
      <c r="B340" s="581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62" t="s">
        <v>4</v>
      </c>
      <c r="B341" s="562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80" t="s">
        <v>6</v>
      </c>
      <c r="B342" s="580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58" t="s">
        <v>80</v>
      </c>
      <c r="B343" s="558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81" t="s">
        <v>3</v>
      </c>
      <c r="B344" s="581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62" t="s">
        <v>4</v>
      </c>
      <c r="B345" s="562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80" t="s">
        <v>6</v>
      </c>
      <c r="B346" s="580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58" t="s">
        <v>81</v>
      </c>
      <c r="B347" s="558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81" t="s">
        <v>3</v>
      </c>
      <c r="B348" s="581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62" t="s">
        <v>4</v>
      </c>
      <c r="B349" s="562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80" t="s">
        <v>6</v>
      </c>
      <c r="B350" s="580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58" t="s">
        <v>82</v>
      </c>
      <c r="B351" s="558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81" t="s">
        <v>3</v>
      </c>
      <c r="B352" s="581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62" t="s">
        <v>4</v>
      </c>
      <c r="B353" s="562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80" t="s">
        <v>6</v>
      </c>
      <c r="B354" s="580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58" t="s">
        <v>83</v>
      </c>
      <c r="B355" s="558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81" t="s">
        <v>3</v>
      </c>
      <c r="B356" s="581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62" t="s">
        <v>4</v>
      </c>
      <c r="B357" s="562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80" t="s">
        <v>6</v>
      </c>
      <c r="B358" s="580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58" t="s">
        <v>84</v>
      </c>
      <c r="B359" s="558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81" t="s">
        <v>3</v>
      </c>
      <c r="B360" s="581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62" t="s">
        <v>4</v>
      </c>
      <c r="B361" s="562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80" t="s">
        <v>6</v>
      </c>
      <c r="B362" s="580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58" t="s">
        <v>85</v>
      </c>
      <c r="B363" s="558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81" t="s">
        <v>3</v>
      </c>
      <c r="B364" s="581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62" t="s">
        <v>4</v>
      </c>
      <c r="B365" s="562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80" t="s">
        <v>6</v>
      </c>
      <c r="B366" s="580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58" t="s">
        <v>86</v>
      </c>
      <c r="B367" s="558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81" t="s">
        <v>3</v>
      </c>
      <c r="B368" s="581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62" t="s">
        <v>4</v>
      </c>
      <c r="B369" s="562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80" t="s">
        <v>6</v>
      </c>
      <c r="B370" s="580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58" t="s">
        <v>87</v>
      </c>
      <c r="B371" s="558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81" t="s">
        <v>3</v>
      </c>
      <c r="B372" s="581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62" t="s">
        <v>4</v>
      </c>
      <c r="B373" s="562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80" t="s">
        <v>6</v>
      </c>
      <c r="B374" s="580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58" t="s">
        <v>88</v>
      </c>
      <c r="B375" s="558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81" t="s">
        <v>3</v>
      </c>
      <c r="B376" s="581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62" t="s">
        <v>4</v>
      </c>
      <c r="B377" s="562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62" t="s">
        <v>6</v>
      </c>
      <c r="B378" s="562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49" t="s">
        <v>532</v>
      </c>
      <c r="B380" s="449"/>
      <c r="C380" s="449"/>
      <c r="D380" s="449"/>
      <c r="E380" s="449"/>
      <c r="F380" s="449"/>
      <c r="G380" s="449"/>
      <c r="H380" s="449"/>
      <c r="I380" s="449"/>
      <c r="J380" s="449"/>
      <c r="K380" s="449"/>
      <c r="L380" s="449"/>
      <c r="M380" s="449"/>
      <c r="N380" s="449"/>
    </row>
    <row r="381" spans="1:14" ht="12.75" customHeight="1">
      <c r="A381" s="450" t="s">
        <v>11</v>
      </c>
      <c r="B381" s="450" t="s">
        <v>12</v>
      </c>
      <c r="C381" s="450"/>
      <c r="D381" s="470" t="s">
        <v>13</v>
      </c>
      <c r="E381" s="454" t="s">
        <v>14</v>
      </c>
      <c r="F381" s="455"/>
      <c r="G381" s="455"/>
      <c r="H381" s="455"/>
      <c r="I381" s="455"/>
      <c r="J381" s="455"/>
      <c r="K381" s="455"/>
      <c r="L381" s="455"/>
      <c r="M381" s="455"/>
    </row>
    <row r="382" spans="1:14" ht="12" customHeight="1">
      <c r="A382" s="452"/>
      <c r="B382" s="452"/>
      <c r="C382" s="452"/>
      <c r="D382" s="471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68">
        <v>1800</v>
      </c>
      <c r="C383" s="468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65">
        <v>1500</v>
      </c>
      <c r="C384" s="465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65">
        <v>1200</v>
      </c>
      <c r="C385" s="465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67">
        <v>1000</v>
      </c>
      <c r="C386" s="467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68">
        <v>1800</v>
      </c>
      <c r="C387" s="468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65">
        <v>1500</v>
      </c>
      <c r="C388" s="465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65">
        <v>1200</v>
      </c>
      <c r="C389" s="465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67">
        <v>1000</v>
      </c>
      <c r="C390" s="467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68">
        <v>1800</v>
      </c>
      <c r="C391" s="468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65">
        <v>1500</v>
      </c>
      <c r="C392" s="465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65">
        <v>1200</v>
      </c>
      <c r="C393" s="465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67">
        <v>1000</v>
      </c>
      <c r="C394" s="467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68">
        <v>1800</v>
      </c>
      <c r="C395" s="468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65">
        <v>1500</v>
      </c>
      <c r="C396" s="465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65">
        <v>1200</v>
      </c>
      <c r="C397" s="465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67">
        <v>1000</v>
      </c>
      <c r="C398" s="467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68">
        <v>1800</v>
      </c>
      <c r="C399" s="468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65">
        <v>1500</v>
      </c>
      <c r="C400" s="465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65">
        <v>1200</v>
      </c>
      <c r="C401" s="465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67">
        <v>1000</v>
      </c>
      <c r="C402" s="467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68">
        <v>1800</v>
      </c>
      <c r="C403" s="468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65">
        <v>1500</v>
      </c>
      <c r="C404" s="465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65">
        <v>1200</v>
      </c>
      <c r="C405" s="465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67">
        <v>1000</v>
      </c>
      <c r="C406" s="467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68">
        <v>1800</v>
      </c>
      <c r="C407" s="468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65">
        <v>1500</v>
      </c>
      <c r="C408" s="465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65">
        <v>1200</v>
      </c>
      <c r="C409" s="465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67">
        <v>1000</v>
      </c>
      <c r="C410" s="467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68">
        <v>1800</v>
      </c>
      <c r="C411" s="468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65">
        <v>1500</v>
      </c>
      <c r="C412" s="465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65">
        <v>1200</v>
      </c>
      <c r="C413" s="465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67">
        <v>1000</v>
      </c>
      <c r="C414" s="467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68">
        <v>1800</v>
      </c>
      <c r="C415" s="468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65">
        <v>1500</v>
      </c>
      <c r="C416" s="465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65">
        <v>1200</v>
      </c>
      <c r="C417" s="465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67">
        <v>1000</v>
      </c>
      <c r="C418" s="467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68">
        <v>1800</v>
      </c>
      <c r="C419" s="468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65">
        <v>1500</v>
      </c>
      <c r="C420" s="465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65">
        <v>1200</v>
      </c>
      <c r="C421" s="465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67">
        <v>1000</v>
      </c>
      <c r="C422" s="467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68">
        <v>1800</v>
      </c>
      <c r="C423" s="468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65">
        <v>1500</v>
      </c>
      <c r="C424" s="465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65">
        <v>1200</v>
      </c>
      <c r="C425" s="465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67">
        <v>1000</v>
      </c>
      <c r="C426" s="467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68">
        <v>1800</v>
      </c>
      <c r="C427" s="468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65">
        <v>1500</v>
      </c>
      <c r="C428" s="465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65">
        <v>1200</v>
      </c>
      <c r="C429" s="465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67">
        <v>1000</v>
      </c>
      <c r="C430" s="467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68">
        <v>1800</v>
      </c>
      <c r="C431" s="468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65">
        <v>1500</v>
      </c>
      <c r="C432" s="465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65">
        <v>1200</v>
      </c>
      <c r="C433" s="465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67">
        <v>1000</v>
      </c>
      <c r="C434" s="467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68">
        <v>1800</v>
      </c>
      <c r="C435" s="468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65">
        <v>1500</v>
      </c>
      <c r="C436" s="465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65">
        <v>1200</v>
      </c>
      <c r="C437" s="465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65">
        <v>1000</v>
      </c>
      <c r="C438" s="465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49" t="s">
        <v>92</v>
      </c>
      <c r="B440" s="449"/>
      <c r="C440" s="449"/>
      <c r="D440" s="449"/>
      <c r="E440" s="449"/>
      <c r="F440" s="449"/>
      <c r="G440" s="449"/>
      <c r="H440" s="449"/>
      <c r="I440" s="449"/>
      <c r="J440" s="449"/>
      <c r="K440" s="449"/>
      <c r="L440" s="449"/>
      <c r="M440" s="449"/>
      <c r="N440" s="449"/>
      <c r="O440" s="449"/>
      <c r="P440" s="449"/>
      <c r="Q440" s="449"/>
      <c r="R440" s="449"/>
      <c r="S440" s="449"/>
      <c r="T440" s="449"/>
      <c r="U440" s="449"/>
    </row>
    <row r="441" spans="1:21" ht="12.75" customHeight="1">
      <c r="A441" s="450" t="s">
        <v>11</v>
      </c>
      <c r="B441" s="450" t="s">
        <v>12</v>
      </c>
      <c r="C441" s="450"/>
      <c r="D441" s="451" t="s">
        <v>13</v>
      </c>
      <c r="E441" s="454" t="s">
        <v>14</v>
      </c>
      <c r="F441" s="455"/>
      <c r="G441" s="455"/>
      <c r="H441" s="455"/>
      <c r="I441" s="455"/>
      <c r="J441" s="455"/>
      <c r="K441" s="455"/>
      <c r="L441" s="455"/>
      <c r="M441" s="455"/>
      <c r="N441" s="455"/>
      <c r="O441" s="455"/>
      <c r="P441" s="455"/>
      <c r="Q441" s="455"/>
      <c r="R441" s="455"/>
      <c r="S441" s="455"/>
      <c r="T441" s="455"/>
    </row>
    <row r="442" spans="1:21" ht="12" customHeight="1">
      <c r="A442" s="452"/>
      <c r="B442" s="452"/>
      <c r="C442" s="452"/>
      <c r="D442" s="453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46">
        <v>1800</v>
      </c>
      <c r="C443" s="546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49">
        <v>1500</v>
      </c>
      <c r="C444" s="549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49">
        <v>1200</v>
      </c>
      <c r="C445" s="549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56">
        <v>1000</v>
      </c>
      <c r="C446" s="556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46">
        <v>1800</v>
      </c>
      <c r="C447" s="546"/>
      <c r="D447" s="36">
        <v>254</v>
      </c>
      <c r="E447" s="6">
        <v>2287</v>
      </c>
      <c r="F447" s="86" t="s">
        <v>1</v>
      </c>
      <c r="G447" s="547" t="s">
        <v>94</v>
      </c>
      <c r="H447" s="547" t="s">
        <v>95</v>
      </c>
      <c r="I447" s="589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81"/>
      <c r="B448" s="549">
        <v>1500</v>
      </c>
      <c r="C448" s="549"/>
      <c r="D448" s="557">
        <v>211</v>
      </c>
      <c r="E448" s="551">
        <v>1900</v>
      </c>
      <c r="F448" s="554" t="s">
        <v>1</v>
      </c>
      <c r="G448" s="548"/>
      <c r="H448" s="548"/>
      <c r="I448" s="554"/>
      <c r="J448" s="554" t="s">
        <v>21</v>
      </c>
      <c r="K448" s="554" t="s">
        <v>21</v>
      </c>
      <c r="L448" s="554" t="s">
        <v>21</v>
      </c>
      <c r="M448" s="554" t="s">
        <v>21</v>
      </c>
      <c r="N448" s="554" t="s">
        <v>21</v>
      </c>
      <c r="O448" s="554" t="s">
        <v>21</v>
      </c>
      <c r="P448" s="554" t="s">
        <v>21</v>
      </c>
      <c r="Q448" s="554" t="s">
        <v>21</v>
      </c>
      <c r="R448" s="554" t="s">
        <v>21</v>
      </c>
      <c r="S448" s="554" t="s">
        <v>1</v>
      </c>
      <c r="T448" s="555" t="s">
        <v>1</v>
      </c>
    </row>
    <row r="449" spans="1:20" ht="9" customHeight="1">
      <c r="A449" s="481"/>
      <c r="B449" s="549"/>
      <c r="C449" s="549"/>
      <c r="D449" s="557"/>
      <c r="E449" s="551"/>
      <c r="F449" s="554"/>
      <c r="G449" s="41">
        <v>3159</v>
      </c>
      <c r="H449" s="574">
        <v>3535</v>
      </c>
      <c r="I449" s="574">
        <v>4308</v>
      </c>
      <c r="J449" s="554"/>
      <c r="K449" s="554"/>
      <c r="L449" s="554"/>
      <c r="M449" s="554"/>
      <c r="N449" s="554"/>
      <c r="O449" s="554"/>
      <c r="P449" s="554"/>
      <c r="Q449" s="554"/>
      <c r="R449" s="554"/>
      <c r="S449" s="554"/>
      <c r="T449" s="555"/>
    </row>
    <row r="450" spans="1:20" ht="2.5499999999999998" customHeight="1">
      <c r="A450" s="481"/>
      <c r="B450" s="549">
        <v>1200</v>
      </c>
      <c r="C450" s="549"/>
      <c r="D450" s="557">
        <v>169</v>
      </c>
      <c r="E450" s="551">
        <v>1521</v>
      </c>
      <c r="F450" s="554" t="s">
        <v>1</v>
      </c>
      <c r="G450" s="553">
        <v>2530</v>
      </c>
      <c r="H450" s="574"/>
      <c r="I450" s="574"/>
      <c r="J450" s="553">
        <v>4070</v>
      </c>
      <c r="K450" s="554" t="s">
        <v>21</v>
      </c>
      <c r="L450" s="554" t="s">
        <v>21</v>
      </c>
      <c r="M450" s="554" t="s">
        <v>21</v>
      </c>
      <c r="N450" s="554" t="s">
        <v>21</v>
      </c>
      <c r="O450" s="554" t="s">
        <v>21</v>
      </c>
      <c r="P450" s="554" t="s">
        <v>21</v>
      </c>
      <c r="Q450" s="554" t="s">
        <v>21</v>
      </c>
      <c r="R450" s="554" t="s">
        <v>21</v>
      </c>
      <c r="S450" s="554" t="s">
        <v>1</v>
      </c>
      <c r="T450" s="555" t="s">
        <v>1</v>
      </c>
    </row>
    <row r="451" spans="1:20" ht="9" customHeight="1">
      <c r="A451" s="481"/>
      <c r="B451" s="549"/>
      <c r="C451" s="549"/>
      <c r="D451" s="557"/>
      <c r="E451" s="551"/>
      <c r="F451" s="554"/>
      <c r="G451" s="553"/>
      <c r="H451" s="41">
        <v>2831</v>
      </c>
      <c r="I451" s="41">
        <v>3450</v>
      </c>
      <c r="J451" s="553"/>
      <c r="K451" s="554"/>
      <c r="L451" s="554"/>
      <c r="M451" s="554"/>
      <c r="N451" s="554"/>
      <c r="O451" s="554"/>
      <c r="P451" s="554"/>
      <c r="Q451" s="554"/>
      <c r="R451" s="554"/>
      <c r="S451" s="554"/>
      <c r="T451" s="555"/>
    </row>
    <row r="452" spans="1:20" ht="11.55" customHeight="1">
      <c r="A452" s="45"/>
      <c r="B452" s="556">
        <v>1000</v>
      </c>
      <c r="C452" s="556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46">
        <v>1800</v>
      </c>
      <c r="C453" s="546"/>
      <c r="D453" s="36">
        <v>225</v>
      </c>
      <c r="E453" s="6">
        <v>2026</v>
      </c>
      <c r="F453" s="573">
        <v>2520</v>
      </c>
      <c r="G453" s="547" t="s">
        <v>96</v>
      </c>
      <c r="H453" s="547" t="s">
        <v>97</v>
      </c>
      <c r="I453" s="547" t="s">
        <v>98</v>
      </c>
      <c r="J453" s="589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81"/>
      <c r="B454" s="549">
        <v>1500</v>
      </c>
      <c r="C454" s="549"/>
      <c r="D454" s="557">
        <v>188</v>
      </c>
      <c r="E454" s="551">
        <v>1692</v>
      </c>
      <c r="F454" s="574"/>
      <c r="G454" s="548"/>
      <c r="H454" s="548"/>
      <c r="I454" s="548"/>
      <c r="J454" s="554"/>
      <c r="K454" s="554" t="s">
        <v>21</v>
      </c>
      <c r="L454" s="554" t="s">
        <v>21</v>
      </c>
      <c r="M454" s="554" t="s">
        <v>21</v>
      </c>
      <c r="N454" s="554" t="s">
        <v>21</v>
      </c>
      <c r="O454" s="554" t="s">
        <v>21</v>
      </c>
      <c r="P454" s="554" t="s">
        <v>21</v>
      </c>
      <c r="Q454" s="554" t="s">
        <v>21</v>
      </c>
      <c r="R454" s="554" t="s">
        <v>21</v>
      </c>
      <c r="S454" s="554" t="s">
        <v>21</v>
      </c>
      <c r="T454" s="555" t="s">
        <v>1</v>
      </c>
    </row>
    <row r="455" spans="1:20" ht="9" customHeight="1">
      <c r="A455" s="481"/>
      <c r="B455" s="549"/>
      <c r="C455" s="549"/>
      <c r="D455" s="557"/>
      <c r="E455" s="551"/>
      <c r="F455" s="41">
        <v>2106</v>
      </c>
      <c r="G455" s="41">
        <v>2815</v>
      </c>
      <c r="H455" s="41">
        <v>3149</v>
      </c>
      <c r="I455" s="574">
        <v>3838</v>
      </c>
      <c r="J455" s="574">
        <v>4527</v>
      </c>
      <c r="K455" s="554"/>
      <c r="L455" s="554"/>
      <c r="M455" s="554"/>
      <c r="N455" s="554"/>
      <c r="O455" s="554"/>
      <c r="P455" s="554"/>
      <c r="Q455" s="554"/>
      <c r="R455" s="554"/>
      <c r="S455" s="554"/>
      <c r="T455" s="555"/>
    </row>
    <row r="456" spans="1:20" ht="2.5499999999999998" customHeight="1">
      <c r="A456" s="481"/>
      <c r="B456" s="549">
        <v>1200</v>
      </c>
      <c r="C456" s="549"/>
      <c r="D456" s="557">
        <v>150</v>
      </c>
      <c r="E456" s="551">
        <v>1350</v>
      </c>
      <c r="F456" s="553">
        <v>1680</v>
      </c>
      <c r="G456" s="553">
        <v>2246</v>
      </c>
      <c r="H456" s="553">
        <v>2513</v>
      </c>
      <c r="I456" s="574"/>
      <c r="J456" s="574"/>
      <c r="K456" s="586" t="s">
        <v>99</v>
      </c>
      <c r="L456" s="554" t="s">
        <v>21</v>
      </c>
      <c r="M456" s="554" t="s">
        <v>21</v>
      </c>
      <c r="N456" s="554" t="s">
        <v>21</v>
      </c>
      <c r="O456" s="554" t="s">
        <v>21</v>
      </c>
      <c r="P456" s="554" t="s">
        <v>21</v>
      </c>
      <c r="Q456" s="554" t="s">
        <v>21</v>
      </c>
      <c r="R456" s="554" t="s">
        <v>21</v>
      </c>
      <c r="S456" s="554" t="s">
        <v>21</v>
      </c>
      <c r="T456" s="555" t="s">
        <v>1</v>
      </c>
    </row>
    <row r="457" spans="1:20" ht="9" customHeight="1">
      <c r="A457" s="481"/>
      <c r="B457" s="549"/>
      <c r="C457" s="549"/>
      <c r="D457" s="557"/>
      <c r="E457" s="551"/>
      <c r="F457" s="553"/>
      <c r="G457" s="553"/>
      <c r="H457" s="553"/>
      <c r="I457" s="41">
        <v>3062</v>
      </c>
      <c r="J457" s="41">
        <v>3612</v>
      </c>
      <c r="K457" s="586"/>
      <c r="L457" s="554"/>
      <c r="M457" s="554"/>
      <c r="N457" s="554"/>
      <c r="O457" s="554"/>
      <c r="P457" s="554"/>
      <c r="Q457" s="554"/>
      <c r="R457" s="554"/>
      <c r="S457" s="554"/>
      <c r="T457" s="555"/>
    </row>
    <row r="458" spans="1:20" ht="11.55" customHeight="1">
      <c r="A458" s="45"/>
      <c r="B458" s="556">
        <v>1000</v>
      </c>
      <c r="C458" s="556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46">
        <v>1800</v>
      </c>
      <c r="C459" s="546"/>
      <c r="D459" s="36">
        <v>200</v>
      </c>
      <c r="E459" s="6">
        <v>1801</v>
      </c>
      <c r="F459" s="12">
        <v>2240</v>
      </c>
      <c r="G459" s="547" t="s">
        <v>100</v>
      </c>
      <c r="H459" s="547" t="s">
        <v>101</v>
      </c>
      <c r="I459" s="547" t="s">
        <v>52</v>
      </c>
      <c r="J459" s="547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81"/>
      <c r="B460" s="549">
        <v>1500</v>
      </c>
      <c r="C460" s="549"/>
      <c r="D460" s="557">
        <v>167</v>
      </c>
      <c r="E460" s="551">
        <v>1503</v>
      </c>
      <c r="F460" s="553">
        <v>1871</v>
      </c>
      <c r="G460" s="548"/>
      <c r="H460" s="548"/>
      <c r="I460" s="548"/>
      <c r="J460" s="548"/>
      <c r="K460" s="554" t="s">
        <v>21</v>
      </c>
      <c r="L460" s="554" t="s">
        <v>21</v>
      </c>
      <c r="M460" s="554" t="s">
        <v>21</v>
      </c>
      <c r="N460" s="554" t="s">
        <v>21</v>
      </c>
      <c r="O460" s="554" t="s">
        <v>21</v>
      </c>
      <c r="P460" s="554" t="s">
        <v>21</v>
      </c>
      <c r="Q460" s="554" t="s">
        <v>21</v>
      </c>
      <c r="R460" s="554" t="s">
        <v>21</v>
      </c>
      <c r="S460" s="554" t="s">
        <v>21</v>
      </c>
      <c r="T460" s="555" t="s">
        <v>21</v>
      </c>
    </row>
    <row r="461" spans="1:20" ht="9" customHeight="1">
      <c r="A461" s="481"/>
      <c r="B461" s="549"/>
      <c r="C461" s="549"/>
      <c r="D461" s="557"/>
      <c r="E461" s="551"/>
      <c r="F461" s="553"/>
      <c r="G461" s="41">
        <v>2500</v>
      </c>
      <c r="H461" s="41">
        <v>2797</v>
      </c>
      <c r="I461" s="41">
        <v>3409</v>
      </c>
      <c r="J461" s="574">
        <v>4021</v>
      </c>
      <c r="K461" s="554"/>
      <c r="L461" s="554"/>
      <c r="M461" s="554"/>
      <c r="N461" s="554"/>
      <c r="O461" s="554"/>
      <c r="P461" s="554"/>
      <c r="Q461" s="554"/>
      <c r="R461" s="554"/>
      <c r="S461" s="554"/>
      <c r="T461" s="555"/>
    </row>
    <row r="462" spans="1:20" ht="2.5499999999999998" customHeight="1">
      <c r="A462" s="481"/>
      <c r="B462" s="549">
        <v>1200</v>
      </c>
      <c r="C462" s="549"/>
      <c r="D462" s="557">
        <v>133</v>
      </c>
      <c r="E462" s="551">
        <v>1197</v>
      </c>
      <c r="F462" s="553">
        <v>1490</v>
      </c>
      <c r="G462" s="553">
        <v>1991</v>
      </c>
      <c r="H462" s="553">
        <v>2228</v>
      </c>
      <c r="I462" s="553">
        <v>2715</v>
      </c>
      <c r="J462" s="574"/>
      <c r="K462" s="586" t="s">
        <v>103</v>
      </c>
      <c r="L462" s="586" t="s">
        <v>104</v>
      </c>
      <c r="M462" s="554" t="s">
        <v>21</v>
      </c>
      <c r="N462" s="554" t="s">
        <v>21</v>
      </c>
      <c r="O462" s="554" t="s">
        <v>21</v>
      </c>
      <c r="P462" s="554" t="s">
        <v>21</v>
      </c>
      <c r="Q462" s="554" t="s">
        <v>21</v>
      </c>
      <c r="R462" s="554" t="s">
        <v>21</v>
      </c>
      <c r="S462" s="554" t="s">
        <v>21</v>
      </c>
      <c r="T462" s="555" t="s">
        <v>21</v>
      </c>
    </row>
    <row r="463" spans="1:20" ht="9" customHeight="1">
      <c r="A463" s="481"/>
      <c r="B463" s="549"/>
      <c r="C463" s="549"/>
      <c r="D463" s="557"/>
      <c r="E463" s="551"/>
      <c r="F463" s="553"/>
      <c r="G463" s="553"/>
      <c r="H463" s="553"/>
      <c r="I463" s="553"/>
      <c r="J463" s="41">
        <v>3203</v>
      </c>
      <c r="K463" s="586"/>
      <c r="L463" s="586"/>
      <c r="M463" s="554"/>
      <c r="N463" s="554"/>
      <c r="O463" s="554"/>
      <c r="P463" s="554"/>
      <c r="Q463" s="554"/>
      <c r="R463" s="554"/>
      <c r="S463" s="554"/>
      <c r="T463" s="555"/>
    </row>
    <row r="464" spans="1:20" ht="11.55" customHeight="1">
      <c r="A464" s="45"/>
      <c r="B464" s="556">
        <v>1000</v>
      </c>
      <c r="C464" s="556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46">
        <v>1800</v>
      </c>
      <c r="C465" s="546"/>
      <c r="D465" s="36">
        <v>180</v>
      </c>
      <c r="E465" s="6">
        <v>1620</v>
      </c>
      <c r="F465" s="12">
        <v>2016</v>
      </c>
      <c r="G465" s="10" t="s">
        <v>105</v>
      </c>
      <c r="H465" s="547" t="s">
        <v>106</v>
      </c>
      <c r="I465" s="547" t="s">
        <v>107</v>
      </c>
      <c r="J465" s="547" t="s">
        <v>108</v>
      </c>
      <c r="K465" s="589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81"/>
      <c r="B466" s="549">
        <v>1500</v>
      </c>
      <c r="C466" s="549"/>
      <c r="D466" s="557">
        <v>150</v>
      </c>
      <c r="E466" s="551">
        <v>1350</v>
      </c>
      <c r="F466" s="553">
        <v>1680</v>
      </c>
      <c r="G466" s="553">
        <v>2246</v>
      </c>
      <c r="H466" s="548"/>
      <c r="I466" s="548"/>
      <c r="J466" s="548"/>
      <c r="K466" s="554"/>
      <c r="L466" s="554" t="s">
        <v>21</v>
      </c>
      <c r="M466" s="554" t="s">
        <v>21</v>
      </c>
      <c r="N466" s="554" t="s">
        <v>21</v>
      </c>
      <c r="O466" s="554" t="s">
        <v>21</v>
      </c>
      <c r="P466" s="554" t="s">
        <v>21</v>
      </c>
      <c r="Q466" s="554" t="s">
        <v>21</v>
      </c>
      <c r="R466" s="554" t="s">
        <v>21</v>
      </c>
      <c r="S466" s="554" t="s">
        <v>21</v>
      </c>
      <c r="T466" s="555" t="s">
        <v>21</v>
      </c>
    </row>
    <row r="467" spans="1:20" ht="9" customHeight="1">
      <c r="A467" s="481"/>
      <c r="B467" s="549"/>
      <c r="C467" s="549"/>
      <c r="D467" s="557"/>
      <c r="E467" s="551"/>
      <c r="F467" s="553"/>
      <c r="G467" s="553"/>
      <c r="H467" s="41">
        <v>2513</v>
      </c>
      <c r="I467" s="41">
        <v>3062</v>
      </c>
      <c r="J467" s="41">
        <v>3612</v>
      </c>
      <c r="K467" s="548" t="s">
        <v>99</v>
      </c>
      <c r="L467" s="554"/>
      <c r="M467" s="554"/>
      <c r="N467" s="554"/>
      <c r="O467" s="554"/>
      <c r="P467" s="554"/>
      <c r="Q467" s="554"/>
      <c r="R467" s="554"/>
      <c r="S467" s="554"/>
      <c r="T467" s="555"/>
    </row>
    <row r="468" spans="1:20" ht="2.5499999999999998" customHeight="1">
      <c r="A468" s="481"/>
      <c r="B468" s="549">
        <v>1200</v>
      </c>
      <c r="C468" s="549"/>
      <c r="D468" s="557">
        <v>120</v>
      </c>
      <c r="E468" s="551">
        <v>1080</v>
      </c>
      <c r="F468" s="553">
        <v>1344</v>
      </c>
      <c r="G468" s="553">
        <v>1796</v>
      </c>
      <c r="H468" s="553">
        <v>2010</v>
      </c>
      <c r="I468" s="553">
        <v>2450</v>
      </c>
      <c r="J468" s="553">
        <v>2890</v>
      </c>
      <c r="K468" s="548"/>
      <c r="L468" s="586" t="s">
        <v>65</v>
      </c>
      <c r="M468" s="554" t="s">
        <v>21</v>
      </c>
      <c r="N468" s="554" t="s">
        <v>21</v>
      </c>
      <c r="O468" s="554" t="s">
        <v>21</v>
      </c>
      <c r="P468" s="554" t="s">
        <v>21</v>
      </c>
      <c r="Q468" s="554" t="s">
        <v>21</v>
      </c>
      <c r="R468" s="554" t="s">
        <v>21</v>
      </c>
      <c r="S468" s="554" t="s">
        <v>21</v>
      </c>
      <c r="T468" s="555" t="s">
        <v>21</v>
      </c>
    </row>
    <row r="469" spans="1:20" ht="9" customHeight="1">
      <c r="A469" s="481"/>
      <c r="B469" s="549"/>
      <c r="C469" s="549"/>
      <c r="D469" s="557"/>
      <c r="E469" s="551"/>
      <c r="F469" s="553"/>
      <c r="G469" s="553"/>
      <c r="H469" s="553"/>
      <c r="I469" s="553"/>
      <c r="J469" s="553"/>
      <c r="K469" s="17" t="s">
        <v>109</v>
      </c>
      <c r="L469" s="586"/>
      <c r="M469" s="554"/>
      <c r="N469" s="554"/>
      <c r="O469" s="554"/>
      <c r="P469" s="554"/>
      <c r="Q469" s="554"/>
      <c r="R469" s="554"/>
      <c r="S469" s="554"/>
      <c r="T469" s="555"/>
    </row>
    <row r="470" spans="1:20" ht="11.55" customHeight="1">
      <c r="A470" s="45"/>
      <c r="B470" s="556">
        <v>1000</v>
      </c>
      <c r="C470" s="556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46">
        <v>1800</v>
      </c>
      <c r="C471" s="546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47" t="s">
        <v>113</v>
      </c>
      <c r="K471" s="547" t="s">
        <v>114</v>
      </c>
      <c r="L471" s="589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81"/>
      <c r="B472" s="549">
        <v>1500</v>
      </c>
      <c r="C472" s="549"/>
      <c r="D472" s="557">
        <v>134</v>
      </c>
      <c r="E472" s="551">
        <v>1206</v>
      </c>
      <c r="F472" s="553">
        <v>1501</v>
      </c>
      <c r="G472" s="553">
        <v>2006</v>
      </c>
      <c r="H472" s="553">
        <v>2245</v>
      </c>
      <c r="I472" s="553">
        <v>2736</v>
      </c>
      <c r="J472" s="548"/>
      <c r="K472" s="548"/>
      <c r="L472" s="554"/>
      <c r="M472" s="554" t="s">
        <v>21</v>
      </c>
      <c r="N472" s="554" t="s">
        <v>21</v>
      </c>
      <c r="O472" s="554" t="s">
        <v>21</v>
      </c>
      <c r="P472" s="554" t="s">
        <v>21</v>
      </c>
      <c r="Q472" s="554" t="s">
        <v>21</v>
      </c>
      <c r="R472" s="554" t="s">
        <v>21</v>
      </c>
      <c r="S472" s="554" t="s">
        <v>21</v>
      </c>
      <c r="T472" s="555" t="s">
        <v>21</v>
      </c>
    </row>
    <row r="473" spans="1:20" ht="9" customHeight="1">
      <c r="A473" s="481"/>
      <c r="B473" s="549"/>
      <c r="C473" s="549"/>
      <c r="D473" s="557"/>
      <c r="E473" s="551"/>
      <c r="F473" s="553"/>
      <c r="G473" s="553"/>
      <c r="H473" s="553"/>
      <c r="I473" s="553"/>
      <c r="J473" s="41">
        <v>3227</v>
      </c>
      <c r="K473" s="548" t="s">
        <v>115</v>
      </c>
      <c r="L473" s="548" t="s">
        <v>116</v>
      </c>
      <c r="M473" s="554"/>
      <c r="N473" s="554"/>
      <c r="O473" s="554"/>
      <c r="P473" s="554"/>
      <c r="Q473" s="554"/>
      <c r="R473" s="554"/>
      <c r="S473" s="554"/>
      <c r="T473" s="555"/>
    </row>
    <row r="474" spans="1:20" ht="2.5499999999999998" customHeight="1">
      <c r="A474" s="481"/>
      <c r="B474" s="549">
        <v>1200</v>
      </c>
      <c r="C474" s="549"/>
      <c r="D474" s="557">
        <v>107</v>
      </c>
      <c r="E474" s="551">
        <v>963</v>
      </c>
      <c r="F474" s="553">
        <v>1198</v>
      </c>
      <c r="G474" s="553">
        <v>1602</v>
      </c>
      <c r="H474" s="553">
        <v>1792</v>
      </c>
      <c r="I474" s="553">
        <v>2184</v>
      </c>
      <c r="J474" s="553">
        <v>2576</v>
      </c>
      <c r="K474" s="548"/>
      <c r="L474" s="548"/>
      <c r="M474" s="586" t="s">
        <v>117</v>
      </c>
      <c r="N474" s="554" t="s">
        <v>21</v>
      </c>
      <c r="O474" s="554" t="s">
        <v>21</v>
      </c>
      <c r="P474" s="554" t="s">
        <v>21</v>
      </c>
      <c r="Q474" s="554" t="s">
        <v>21</v>
      </c>
      <c r="R474" s="554" t="s">
        <v>21</v>
      </c>
      <c r="S474" s="554" t="s">
        <v>21</v>
      </c>
      <c r="T474" s="555" t="s">
        <v>21</v>
      </c>
    </row>
    <row r="475" spans="1:20" ht="9" customHeight="1">
      <c r="A475" s="481"/>
      <c r="B475" s="549"/>
      <c r="C475" s="549"/>
      <c r="D475" s="557"/>
      <c r="E475" s="551"/>
      <c r="F475" s="553"/>
      <c r="G475" s="553"/>
      <c r="H475" s="553"/>
      <c r="I475" s="553"/>
      <c r="J475" s="553"/>
      <c r="K475" s="17" t="s">
        <v>118</v>
      </c>
      <c r="L475" s="17" t="s">
        <v>119</v>
      </c>
      <c r="M475" s="586"/>
      <c r="N475" s="554"/>
      <c r="O475" s="554"/>
      <c r="P475" s="554"/>
      <c r="Q475" s="554"/>
      <c r="R475" s="554"/>
      <c r="S475" s="554"/>
      <c r="T475" s="555"/>
    </row>
    <row r="476" spans="1:20" ht="11.55" customHeight="1">
      <c r="A476" s="45"/>
      <c r="B476" s="556">
        <v>1000</v>
      </c>
      <c r="C476" s="556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46">
        <v>1800</v>
      </c>
      <c r="C477" s="546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47" t="s">
        <v>124</v>
      </c>
      <c r="L477" s="589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81"/>
      <c r="B478" s="549">
        <v>1500</v>
      </c>
      <c r="C478" s="549"/>
      <c r="D478" s="557">
        <v>120</v>
      </c>
      <c r="E478" s="551">
        <v>1080</v>
      </c>
      <c r="F478" s="553">
        <v>1344</v>
      </c>
      <c r="G478" s="553">
        <v>1796</v>
      </c>
      <c r="H478" s="553">
        <v>2010</v>
      </c>
      <c r="I478" s="553">
        <v>2450</v>
      </c>
      <c r="J478" s="553">
        <v>2890</v>
      </c>
      <c r="K478" s="548"/>
      <c r="L478" s="554"/>
      <c r="M478" s="554" t="s">
        <v>21</v>
      </c>
      <c r="N478" s="554" t="s">
        <v>21</v>
      </c>
      <c r="O478" s="554" t="s">
        <v>21</v>
      </c>
      <c r="P478" s="554" t="s">
        <v>21</v>
      </c>
      <c r="Q478" s="554" t="s">
        <v>21</v>
      </c>
      <c r="R478" s="554" t="s">
        <v>21</v>
      </c>
      <c r="S478" s="554" t="s">
        <v>21</v>
      </c>
      <c r="T478" s="555" t="s">
        <v>21</v>
      </c>
    </row>
    <row r="479" spans="1:20" ht="9" customHeight="1">
      <c r="A479" s="481"/>
      <c r="B479" s="549"/>
      <c r="C479" s="549"/>
      <c r="D479" s="557"/>
      <c r="E479" s="551"/>
      <c r="F479" s="553"/>
      <c r="G479" s="553"/>
      <c r="H479" s="553"/>
      <c r="I479" s="553"/>
      <c r="J479" s="553"/>
      <c r="K479" s="41">
        <v>3669</v>
      </c>
      <c r="L479" s="548" t="s">
        <v>65</v>
      </c>
      <c r="M479" s="554"/>
      <c r="N479" s="554"/>
      <c r="O479" s="554"/>
      <c r="P479" s="554"/>
      <c r="Q479" s="554"/>
      <c r="R479" s="554"/>
      <c r="S479" s="554"/>
      <c r="T479" s="555"/>
    </row>
    <row r="480" spans="1:20" ht="2.5499999999999998" customHeight="1">
      <c r="A480" s="481"/>
      <c r="B480" s="549">
        <v>1200</v>
      </c>
      <c r="C480" s="549"/>
      <c r="D480" s="465">
        <v>96</v>
      </c>
      <c r="E480" s="551">
        <v>864</v>
      </c>
      <c r="F480" s="553">
        <v>1075</v>
      </c>
      <c r="G480" s="553">
        <v>1437</v>
      </c>
      <c r="H480" s="553">
        <v>1608</v>
      </c>
      <c r="I480" s="553">
        <v>1960</v>
      </c>
      <c r="J480" s="553">
        <v>2312</v>
      </c>
      <c r="K480" s="553">
        <v>2935</v>
      </c>
      <c r="L480" s="548"/>
      <c r="M480" s="586" t="s">
        <v>125</v>
      </c>
      <c r="N480" s="586" t="s">
        <v>126</v>
      </c>
      <c r="O480" s="554" t="s">
        <v>21</v>
      </c>
      <c r="P480" s="554" t="s">
        <v>21</v>
      </c>
      <c r="Q480" s="554" t="s">
        <v>21</v>
      </c>
      <c r="R480" s="554" t="s">
        <v>21</v>
      </c>
      <c r="S480" s="554" t="s">
        <v>21</v>
      </c>
      <c r="T480" s="555" t="s">
        <v>21</v>
      </c>
    </row>
    <row r="481" spans="1:20" ht="9" customHeight="1">
      <c r="A481" s="481"/>
      <c r="B481" s="549"/>
      <c r="C481" s="549"/>
      <c r="D481" s="465"/>
      <c r="E481" s="551"/>
      <c r="F481" s="553"/>
      <c r="G481" s="553"/>
      <c r="H481" s="553"/>
      <c r="I481" s="553"/>
      <c r="J481" s="553"/>
      <c r="K481" s="553"/>
      <c r="L481" s="17" t="s">
        <v>127</v>
      </c>
      <c r="M481" s="586"/>
      <c r="N481" s="586"/>
      <c r="O481" s="554"/>
      <c r="P481" s="554"/>
      <c r="Q481" s="554"/>
      <c r="R481" s="554"/>
      <c r="S481" s="554"/>
      <c r="T481" s="555"/>
    </row>
    <row r="482" spans="1:20" ht="11.55" customHeight="1">
      <c r="A482" s="45"/>
      <c r="B482" s="556">
        <v>1000</v>
      </c>
      <c r="C482" s="556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46">
        <v>1800</v>
      </c>
      <c r="C483" s="546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47" t="s">
        <v>132</v>
      </c>
      <c r="L483" s="547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81"/>
      <c r="B484" s="549">
        <v>1500</v>
      </c>
      <c r="C484" s="549"/>
      <c r="D484" s="557">
        <v>107</v>
      </c>
      <c r="E484" s="551">
        <v>963</v>
      </c>
      <c r="F484" s="553">
        <v>1198</v>
      </c>
      <c r="G484" s="553">
        <v>1602</v>
      </c>
      <c r="H484" s="553">
        <v>1792</v>
      </c>
      <c r="I484" s="553">
        <v>2184</v>
      </c>
      <c r="J484" s="553">
        <v>2576</v>
      </c>
      <c r="K484" s="548"/>
      <c r="L484" s="548"/>
      <c r="M484" s="586" t="s">
        <v>117</v>
      </c>
      <c r="N484" s="554" t="s">
        <v>21</v>
      </c>
      <c r="O484" s="554" t="s">
        <v>21</v>
      </c>
      <c r="P484" s="554" t="s">
        <v>21</v>
      </c>
      <c r="Q484" s="554" t="s">
        <v>21</v>
      </c>
      <c r="R484" s="554" t="s">
        <v>21</v>
      </c>
      <c r="S484" s="554" t="s">
        <v>21</v>
      </c>
      <c r="T484" s="555" t="s">
        <v>21</v>
      </c>
    </row>
    <row r="485" spans="1:20" ht="9" customHeight="1">
      <c r="A485" s="481"/>
      <c r="B485" s="549"/>
      <c r="C485" s="549"/>
      <c r="D485" s="557"/>
      <c r="E485" s="551"/>
      <c r="F485" s="553"/>
      <c r="G485" s="553"/>
      <c r="H485" s="553"/>
      <c r="I485" s="553"/>
      <c r="J485" s="553"/>
      <c r="K485" s="41">
        <v>3271</v>
      </c>
      <c r="L485" s="41">
        <v>3753</v>
      </c>
      <c r="M485" s="586"/>
      <c r="N485" s="554"/>
      <c r="O485" s="554"/>
      <c r="P485" s="554"/>
      <c r="Q485" s="554"/>
      <c r="R485" s="554"/>
      <c r="S485" s="554"/>
      <c r="T485" s="555"/>
    </row>
    <row r="486" spans="1:20" ht="9.3000000000000007" customHeight="1">
      <c r="A486" s="1"/>
      <c r="B486" s="549">
        <v>1200</v>
      </c>
      <c r="C486" s="549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56">
        <v>1000</v>
      </c>
      <c r="C487" s="556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46">
        <v>1800</v>
      </c>
      <c r="C488" s="546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47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81"/>
      <c r="B489" s="549">
        <v>1500</v>
      </c>
      <c r="C489" s="549"/>
      <c r="D489" s="465">
        <v>94</v>
      </c>
      <c r="E489" s="551">
        <v>846</v>
      </c>
      <c r="F489" s="553">
        <v>1053</v>
      </c>
      <c r="G489" s="553">
        <v>1407</v>
      </c>
      <c r="H489" s="553">
        <v>1574</v>
      </c>
      <c r="I489" s="553">
        <v>1919</v>
      </c>
      <c r="J489" s="553">
        <v>2263</v>
      </c>
      <c r="K489" s="553">
        <v>2874</v>
      </c>
      <c r="L489" s="548"/>
      <c r="M489" s="586" t="s">
        <v>143</v>
      </c>
      <c r="N489" s="586" t="s">
        <v>144</v>
      </c>
      <c r="O489" s="554" t="s">
        <v>21</v>
      </c>
      <c r="P489" s="554" t="s">
        <v>21</v>
      </c>
      <c r="Q489" s="554" t="s">
        <v>21</v>
      </c>
      <c r="R489" s="554" t="s">
        <v>21</v>
      </c>
      <c r="S489" s="554" t="s">
        <v>21</v>
      </c>
      <c r="T489" s="555" t="s">
        <v>21</v>
      </c>
    </row>
    <row r="490" spans="1:20" ht="9" customHeight="1">
      <c r="A490" s="481"/>
      <c r="B490" s="549"/>
      <c r="C490" s="549"/>
      <c r="D490" s="465"/>
      <c r="E490" s="551"/>
      <c r="F490" s="553"/>
      <c r="G490" s="553"/>
      <c r="H490" s="553"/>
      <c r="I490" s="553"/>
      <c r="J490" s="553"/>
      <c r="K490" s="553"/>
      <c r="L490" s="41">
        <v>3297</v>
      </c>
      <c r="M490" s="586"/>
      <c r="N490" s="586"/>
      <c r="O490" s="554"/>
      <c r="P490" s="554"/>
      <c r="Q490" s="554"/>
      <c r="R490" s="554"/>
      <c r="S490" s="554"/>
      <c r="T490" s="555"/>
    </row>
    <row r="491" spans="1:20" ht="9.3000000000000007" customHeight="1">
      <c r="A491" s="1"/>
      <c r="B491" s="549">
        <v>1200</v>
      </c>
      <c r="C491" s="549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56">
        <v>1000</v>
      </c>
      <c r="C492" s="556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46">
        <v>1800</v>
      </c>
      <c r="C493" s="546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49">
        <v>1500</v>
      </c>
      <c r="C494" s="549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49">
        <v>1200</v>
      </c>
      <c r="C495" s="549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56">
        <v>1000</v>
      </c>
      <c r="C496" s="556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46">
        <v>1800</v>
      </c>
      <c r="C497" s="546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49">
        <v>1500</v>
      </c>
      <c r="C498" s="549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49">
        <v>1200</v>
      </c>
      <c r="C499" s="549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56">
        <v>1000</v>
      </c>
      <c r="C500" s="556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46">
        <v>1800</v>
      </c>
      <c r="C501" s="546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49">
        <v>1500</v>
      </c>
      <c r="C502" s="549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49">
        <v>1200</v>
      </c>
      <c r="C503" s="549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56">
        <v>1000</v>
      </c>
      <c r="C504" s="556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46">
        <v>1800</v>
      </c>
      <c r="C505" s="546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49">
        <v>1500</v>
      </c>
      <c r="C506" s="549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49">
        <v>1200</v>
      </c>
      <c r="C507" s="549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56">
        <v>1000</v>
      </c>
      <c r="C508" s="556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46">
        <v>1800</v>
      </c>
      <c r="C509" s="546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49">
        <v>1500</v>
      </c>
      <c r="C510" s="549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49">
        <v>1200</v>
      </c>
      <c r="C511" s="549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49">
        <v>1000</v>
      </c>
      <c r="C512" s="549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49" t="s">
        <v>174</v>
      </c>
      <c r="B514" s="449"/>
      <c r="C514" s="449"/>
      <c r="D514" s="449"/>
      <c r="E514" s="449"/>
      <c r="F514" s="449"/>
      <c r="G514" s="449"/>
      <c r="H514" s="449"/>
      <c r="I514" s="449"/>
      <c r="J514" s="449"/>
      <c r="K514" s="449"/>
      <c r="L514" s="449"/>
      <c r="M514" s="449"/>
      <c r="N514" s="449"/>
    </row>
    <row r="515" spans="1:14" ht="11.25" customHeight="1">
      <c r="A515" s="451" t="s">
        <v>69</v>
      </c>
      <c r="B515" s="454" t="s">
        <v>14</v>
      </c>
      <c r="C515" s="455"/>
      <c r="D515" s="455"/>
      <c r="E515" s="455"/>
      <c r="F515" s="455"/>
      <c r="G515" s="455"/>
      <c r="H515" s="455"/>
      <c r="I515" s="455"/>
      <c r="J515" s="455"/>
      <c r="K515" s="455"/>
      <c r="L515" s="455"/>
    </row>
    <row r="516" spans="1:14" ht="11.25" customHeight="1">
      <c r="A516" s="453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56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57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57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57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57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57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57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57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57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57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57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57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57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61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58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59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59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59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59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59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59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59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59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59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59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60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62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63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63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63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63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63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63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63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63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63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63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63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64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56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57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57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57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57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57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57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57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57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57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57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57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57"/>
    </row>
    <row r="570" spans="1:20" ht="33.75" customHeight="1">
      <c r="A570" s="449" t="s">
        <v>174</v>
      </c>
      <c r="B570" s="449"/>
      <c r="C570" s="449"/>
      <c r="D570" s="449"/>
      <c r="E570" s="449"/>
      <c r="F570" s="449"/>
      <c r="G570" s="449"/>
      <c r="H570" s="449"/>
      <c r="I570" s="449"/>
      <c r="J570" s="449"/>
      <c r="K570" s="449"/>
      <c r="L570" s="449"/>
      <c r="M570" s="449"/>
      <c r="N570" s="449"/>
      <c r="O570" s="449"/>
      <c r="P570" s="449"/>
      <c r="Q570" s="449"/>
      <c r="R570" s="449"/>
      <c r="S570" s="449"/>
      <c r="T570" s="449"/>
    </row>
    <row r="571" spans="1:20" ht="11.25" customHeight="1">
      <c r="A571" s="451" t="s">
        <v>69</v>
      </c>
      <c r="B571" s="454" t="s">
        <v>14</v>
      </c>
      <c r="C571" s="455"/>
      <c r="D571" s="455"/>
      <c r="E571" s="455"/>
      <c r="F571" s="455"/>
      <c r="G571" s="455"/>
      <c r="H571" s="455"/>
      <c r="I571" s="455"/>
      <c r="J571" s="455"/>
      <c r="K571" s="455"/>
      <c r="L571" s="455"/>
      <c r="M571" s="455"/>
      <c r="N571" s="455"/>
      <c r="O571" s="455"/>
      <c r="P571" s="455"/>
      <c r="Q571" s="455"/>
      <c r="R571" s="455"/>
    </row>
    <row r="572" spans="1:20" ht="11.25" customHeight="1">
      <c r="A572" s="453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56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57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57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57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57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57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57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57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57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57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57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57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57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61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58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59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59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59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59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59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59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59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59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59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59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60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62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63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63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63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63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63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63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63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63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63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63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63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64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56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57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57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57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57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57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57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57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57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57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57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57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57"/>
    </row>
    <row r="626" spans="1:21" ht="12.3" customHeight="1">
      <c r="A626" s="450" t="s">
        <v>69</v>
      </c>
      <c r="B626" s="451"/>
      <c r="C626" s="454" t="s">
        <v>14</v>
      </c>
      <c r="D626" s="455"/>
      <c r="E626" s="455"/>
      <c r="F626" s="455"/>
      <c r="G626" s="455"/>
      <c r="H626" s="455"/>
      <c r="I626" s="455"/>
      <c r="J626" s="455"/>
      <c r="K626" s="455"/>
      <c r="L626" s="455"/>
      <c r="M626" s="455"/>
      <c r="N626" s="455"/>
      <c r="O626" s="455"/>
      <c r="P626" s="455"/>
      <c r="Q626" s="455"/>
      <c r="R626" s="455"/>
      <c r="S626" s="455"/>
      <c r="T626" s="455"/>
      <c r="U626" s="455"/>
    </row>
    <row r="627" spans="1:21" ht="9" customHeight="1">
      <c r="A627" s="452"/>
      <c r="B627" s="453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58" t="s">
        <v>177</v>
      </c>
      <c r="B628" s="558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62" t="s">
        <v>3</v>
      </c>
      <c r="B629" s="562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63" t="s">
        <v>5</v>
      </c>
      <c r="B630" s="563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64" t="s">
        <v>7</v>
      </c>
      <c r="B631" s="564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58" t="s">
        <v>178</v>
      </c>
      <c r="B632" s="558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62" t="s">
        <v>3</v>
      </c>
      <c r="B633" s="562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63" t="s">
        <v>5</v>
      </c>
      <c r="B634" s="563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64" t="s">
        <v>7</v>
      </c>
      <c r="B635" s="564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58" t="s">
        <v>179</v>
      </c>
      <c r="B636" s="558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62" t="s">
        <v>3</v>
      </c>
      <c r="B637" s="562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63" t="s">
        <v>5</v>
      </c>
      <c r="B638" s="563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64" t="s">
        <v>7</v>
      </c>
      <c r="B639" s="564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58" t="s">
        <v>180</v>
      </c>
      <c r="B640" s="558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62" t="s">
        <v>3</v>
      </c>
      <c r="B641" s="562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63" t="s">
        <v>5</v>
      </c>
      <c r="B642" s="563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64" t="s">
        <v>7</v>
      </c>
      <c r="B643" s="564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58" t="s">
        <v>181</v>
      </c>
      <c r="B644" s="558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62" t="s">
        <v>3</v>
      </c>
      <c r="B645" s="562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63" t="s">
        <v>5</v>
      </c>
      <c r="B646" s="563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64" t="s">
        <v>7</v>
      </c>
      <c r="B647" s="564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58" t="s">
        <v>182</v>
      </c>
      <c r="B648" s="558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62" t="s">
        <v>3</v>
      </c>
      <c r="B649" s="562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63" t="s">
        <v>5</v>
      </c>
      <c r="B650" s="563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64" t="s">
        <v>7</v>
      </c>
      <c r="B651" s="564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58" t="s">
        <v>183</v>
      </c>
      <c r="B652" s="558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62" t="s">
        <v>3</v>
      </c>
      <c r="B653" s="562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63" t="s">
        <v>5</v>
      </c>
      <c r="B654" s="563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64" t="s">
        <v>7</v>
      </c>
      <c r="B655" s="564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58" t="s">
        <v>184</v>
      </c>
      <c r="B656" s="558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62" t="s">
        <v>3</v>
      </c>
      <c r="B657" s="562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63" t="s">
        <v>5</v>
      </c>
      <c r="B658" s="563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64" t="s">
        <v>7</v>
      </c>
      <c r="B659" s="564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58" t="s">
        <v>185</v>
      </c>
      <c r="B660" s="558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62" t="s">
        <v>3</v>
      </c>
      <c r="B661" s="562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63" t="s">
        <v>5</v>
      </c>
      <c r="B662" s="563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64" t="s">
        <v>7</v>
      </c>
      <c r="B663" s="564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58" t="s">
        <v>186</v>
      </c>
      <c r="B664" s="558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62" t="s">
        <v>3</v>
      </c>
      <c r="B665" s="562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63" t="s">
        <v>5</v>
      </c>
      <c r="B666" s="563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64" t="s">
        <v>7</v>
      </c>
      <c r="B667" s="564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58" t="s">
        <v>187</v>
      </c>
      <c r="B668" s="558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62" t="s">
        <v>3</v>
      </c>
      <c r="B669" s="562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63" t="s">
        <v>5</v>
      </c>
      <c r="B670" s="563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64" t="s">
        <v>7</v>
      </c>
      <c r="B671" s="564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58" t="s">
        <v>188</v>
      </c>
      <c r="B672" s="558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62" t="s">
        <v>3</v>
      </c>
      <c r="B673" s="562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63" t="s">
        <v>5</v>
      </c>
      <c r="B674" s="563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64" t="s">
        <v>7</v>
      </c>
      <c r="B675" s="564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58" t="s">
        <v>189</v>
      </c>
      <c r="B676" s="558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62" t="s">
        <v>3</v>
      </c>
      <c r="B677" s="562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63" t="s">
        <v>5</v>
      </c>
      <c r="B678" s="563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64" t="s">
        <v>7</v>
      </c>
      <c r="B679" s="564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58" t="s">
        <v>190</v>
      </c>
      <c r="B680" s="558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62" t="s">
        <v>3</v>
      </c>
      <c r="B681" s="562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63" t="s">
        <v>5</v>
      </c>
      <c r="B682" s="563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63" t="s">
        <v>7</v>
      </c>
      <c r="B683" s="563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50" t="s">
        <v>69</v>
      </c>
      <c r="B685" s="451"/>
      <c r="C685" s="454" t="s">
        <v>14</v>
      </c>
      <c r="D685" s="455"/>
      <c r="E685" s="455"/>
      <c r="F685" s="455"/>
      <c r="G685" s="455"/>
      <c r="H685" s="455"/>
      <c r="I685" s="455"/>
      <c r="J685" s="455"/>
      <c r="K685" s="455"/>
      <c r="L685" s="455"/>
      <c r="M685" s="455"/>
      <c r="N685" s="455"/>
      <c r="O685" s="455"/>
      <c r="P685" s="455"/>
      <c r="Q685" s="455"/>
      <c r="R685" s="455"/>
      <c r="S685" s="455"/>
      <c r="T685" s="455"/>
      <c r="U685" s="455"/>
    </row>
    <row r="686" spans="1:21" ht="9" customHeight="1">
      <c r="A686" s="452"/>
      <c r="B686" s="453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58" t="s">
        <v>177</v>
      </c>
      <c r="B687" s="558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62" t="s">
        <v>3</v>
      </c>
      <c r="B688" s="562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63" t="s">
        <v>5</v>
      </c>
      <c r="B689" s="563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64" t="s">
        <v>7</v>
      </c>
      <c r="B690" s="564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58" t="s">
        <v>178</v>
      </c>
      <c r="B691" s="558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62" t="s">
        <v>3</v>
      </c>
      <c r="B692" s="562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63" t="s">
        <v>5</v>
      </c>
      <c r="B693" s="563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64" t="s">
        <v>7</v>
      </c>
      <c r="B694" s="564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58" t="s">
        <v>179</v>
      </c>
      <c r="B695" s="558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62" t="s">
        <v>3</v>
      </c>
      <c r="B696" s="562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63" t="s">
        <v>5</v>
      </c>
      <c r="B697" s="563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64" t="s">
        <v>7</v>
      </c>
      <c r="B698" s="564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58" t="s">
        <v>180</v>
      </c>
      <c r="B699" s="558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62" t="s">
        <v>3</v>
      </c>
      <c r="B700" s="562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63" t="s">
        <v>5</v>
      </c>
      <c r="B701" s="563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64" t="s">
        <v>7</v>
      </c>
      <c r="B702" s="564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58" t="s">
        <v>181</v>
      </c>
      <c r="B703" s="558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62" t="s">
        <v>3</v>
      </c>
      <c r="B704" s="562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63" t="s">
        <v>5</v>
      </c>
      <c r="B705" s="563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64" t="s">
        <v>7</v>
      </c>
      <c r="B706" s="564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58" t="s">
        <v>182</v>
      </c>
      <c r="B707" s="558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62" t="s">
        <v>3</v>
      </c>
      <c r="B708" s="562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63" t="s">
        <v>5</v>
      </c>
      <c r="B709" s="563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64" t="s">
        <v>7</v>
      </c>
      <c r="B710" s="564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58" t="s">
        <v>183</v>
      </c>
      <c r="B711" s="558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62" t="s">
        <v>3</v>
      </c>
      <c r="B712" s="562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63" t="s">
        <v>5</v>
      </c>
      <c r="B713" s="563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64" t="s">
        <v>7</v>
      </c>
      <c r="B714" s="564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58" t="s">
        <v>184</v>
      </c>
      <c r="B715" s="558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62" t="s">
        <v>3</v>
      </c>
      <c r="B716" s="562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63" t="s">
        <v>5</v>
      </c>
      <c r="B717" s="563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64" t="s">
        <v>7</v>
      </c>
      <c r="B718" s="564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58" t="s">
        <v>185</v>
      </c>
      <c r="B719" s="558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62" t="s">
        <v>3</v>
      </c>
      <c r="B720" s="562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63" t="s">
        <v>5</v>
      </c>
      <c r="B721" s="563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64" t="s">
        <v>7</v>
      </c>
      <c r="B722" s="564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58" t="s">
        <v>186</v>
      </c>
      <c r="B723" s="558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62" t="s">
        <v>3</v>
      </c>
      <c r="B724" s="562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63" t="s">
        <v>5</v>
      </c>
      <c r="B725" s="563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64" t="s">
        <v>7</v>
      </c>
      <c r="B726" s="564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58" t="s">
        <v>187</v>
      </c>
      <c r="B727" s="558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62" t="s">
        <v>3</v>
      </c>
      <c r="B728" s="562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63" t="s">
        <v>5</v>
      </c>
      <c r="B729" s="563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64" t="s">
        <v>7</v>
      </c>
      <c r="B730" s="564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58" t="s">
        <v>188</v>
      </c>
      <c r="B731" s="558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62" t="s">
        <v>3</v>
      </c>
      <c r="B732" s="562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63" t="s">
        <v>5</v>
      </c>
      <c r="B733" s="563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64" t="s">
        <v>7</v>
      </c>
      <c r="B734" s="564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58" t="s">
        <v>189</v>
      </c>
      <c r="B735" s="558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62" t="s">
        <v>3</v>
      </c>
      <c r="B736" s="562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63" t="s">
        <v>5</v>
      </c>
      <c r="B737" s="563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64" t="s">
        <v>7</v>
      </c>
      <c r="B738" s="564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58" t="s">
        <v>190</v>
      </c>
      <c r="B739" s="558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62" t="s">
        <v>3</v>
      </c>
      <c r="B740" s="562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63" t="s">
        <v>5</v>
      </c>
      <c r="B741" s="563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63" t="s">
        <v>7</v>
      </c>
      <c r="B742" s="563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49" t="s">
        <v>191</v>
      </c>
      <c r="B744" s="449"/>
      <c r="C744" s="449"/>
      <c r="D744" s="449"/>
      <c r="E744" s="449"/>
      <c r="F744" s="449"/>
      <c r="G744" s="449"/>
      <c r="H744" s="449"/>
      <c r="I744" s="449"/>
      <c r="J744" s="449"/>
      <c r="K744" s="449"/>
      <c r="L744" s="449"/>
      <c r="M744" s="449"/>
      <c r="N744" s="449"/>
      <c r="O744" s="449"/>
      <c r="P744" s="449"/>
      <c r="Q744" s="449"/>
      <c r="R744" s="449"/>
      <c r="S744" s="449"/>
      <c r="T744" s="449"/>
      <c r="U744" s="449"/>
      <c r="V744" s="449"/>
    </row>
    <row r="745" spans="1:22" ht="12.3" customHeight="1">
      <c r="A745" s="450" t="s">
        <v>69</v>
      </c>
      <c r="B745" s="451"/>
      <c r="C745" s="454" t="s">
        <v>14</v>
      </c>
      <c r="D745" s="455"/>
      <c r="E745" s="455"/>
      <c r="F745" s="455"/>
      <c r="G745" s="455"/>
      <c r="H745" s="455"/>
      <c r="I745" s="455"/>
      <c r="J745" s="455"/>
      <c r="K745" s="455"/>
      <c r="L745" s="455"/>
      <c r="M745" s="455"/>
      <c r="N745" s="455"/>
      <c r="O745" s="455"/>
      <c r="P745" s="455"/>
      <c r="Q745" s="455"/>
      <c r="R745" s="455"/>
      <c r="S745" s="455"/>
      <c r="T745" s="455"/>
      <c r="U745" s="455"/>
    </row>
    <row r="746" spans="1:22" ht="9" customHeight="1">
      <c r="A746" s="452"/>
      <c r="B746" s="453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88" t="s">
        <v>177</v>
      </c>
      <c r="B747" s="558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62" t="s">
        <v>3</v>
      </c>
      <c r="B748" s="562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63" t="s">
        <v>5</v>
      </c>
      <c r="B749" s="563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64" t="s">
        <v>7</v>
      </c>
      <c r="B750" s="564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58" t="s">
        <v>178</v>
      </c>
      <c r="B751" s="558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62" t="s">
        <v>3</v>
      </c>
      <c r="B752" s="562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63" t="s">
        <v>5</v>
      </c>
      <c r="B753" s="563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64" t="s">
        <v>7</v>
      </c>
      <c r="B754" s="564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58" t="s">
        <v>179</v>
      </c>
      <c r="B755" s="558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62" t="s">
        <v>3</v>
      </c>
      <c r="B756" s="562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63" t="s">
        <v>5</v>
      </c>
      <c r="B757" s="563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64" t="s">
        <v>7</v>
      </c>
      <c r="B758" s="564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58" t="s">
        <v>180</v>
      </c>
      <c r="B759" s="558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62" t="s">
        <v>3</v>
      </c>
      <c r="B760" s="562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63" t="s">
        <v>5</v>
      </c>
      <c r="B761" s="563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64" t="s">
        <v>7</v>
      </c>
      <c r="B762" s="564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58" t="s">
        <v>181</v>
      </c>
      <c r="B763" s="558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62" t="s">
        <v>3</v>
      </c>
      <c r="B764" s="562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63" t="s">
        <v>5</v>
      </c>
      <c r="B765" s="563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64" t="s">
        <v>7</v>
      </c>
      <c r="B766" s="564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58" t="s">
        <v>182</v>
      </c>
      <c r="B767" s="558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62" t="s">
        <v>3</v>
      </c>
      <c r="B768" s="562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63" t="s">
        <v>5</v>
      </c>
      <c r="B769" s="563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64" t="s">
        <v>7</v>
      </c>
      <c r="B770" s="564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58" t="s">
        <v>183</v>
      </c>
      <c r="B771" s="558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62" t="s">
        <v>3</v>
      </c>
      <c r="B772" s="562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63" t="s">
        <v>5</v>
      </c>
      <c r="B773" s="563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64" t="s">
        <v>7</v>
      </c>
      <c r="B774" s="564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58" t="s">
        <v>184</v>
      </c>
      <c r="B775" s="558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62" t="s">
        <v>3</v>
      </c>
      <c r="B776" s="562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63" t="s">
        <v>5</v>
      </c>
      <c r="B777" s="563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64" t="s">
        <v>7</v>
      </c>
      <c r="B778" s="564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58" t="s">
        <v>185</v>
      </c>
      <c r="B779" s="558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62" t="s">
        <v>3</v>
      </c>
      <c r="B780" s="562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63" t="s">
        <v>5</v>
      </c>
      <c r="B781" s="563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64" t="s">
        <v>7</v>
      </c>
      <c r="B782" s="564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58" t="s">
        <v>186</v>
      </c>
      <c r="B783" s="558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62" t="s">
        <v>3</v>
      </c>
      <c r="B784" s="562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63" t="s">
        <v>5</v>
      </c>
      <c r="B785" s="563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64" t="s">
        <v>7</v>
      </c>
      <c r="B786" s="564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58" t="s">
        <v>187</v>
      </c>
      <c r="B787" s="558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62" t="s">
        <v>3</v>
      </c>
      <c r="B788" s="562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63" t="s">
        <v>5</v>
      </c>
      <c r="B789" s="563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64" t="s">
        <v>7</v>
      </c>
      <c r="B790" s="564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58" t="s">
        <v>188</v>
      </c>
      <c r="B791" s="558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62" t="s">
        <v>3</v>
      </c>
      <c r="B792" s="562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63" t="s">
        <v>5</v>
      </c>
      <c r="B793" s="563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64" t="s">
        <v>7</v>
      </c>
      <c r="B794" s="564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58" t="s">
        <v>189</v>
      </c>
      <c r="B795" s="558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62" t="s">
        <v>3</v>
      </c>
      <c r="B796" s="562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63" t="s">
        <v>5</v>
      </c>
      <c r="B797" s="563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64" t="s">
        <v>7</v>
      </c>
      <c r="B798" s="564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58" t="s">
        <v>190</v>
      </c>
      <c r="B799" s="558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62" t="s">
        <v>3</v>
      </c>
      <c r="B800" s="562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63" t="s">
        <v>5</v>
      </c>
      <c r="B801" s="563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63" t="s">
        <v>7</v>
      </c>
      <c r="B802" s="563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49" t="s">
        <v>192</v>
      </c>
      <c r="B804" s="449"/>
      <c r="C804" s="449"/>
      <c r="D804" s="449"/>
      <c r="E804" s="449"/>
      <c r="F804" s="449"/>
      <c r="G804" s="449"/>
      <c r="H804" s="449"/>
      <c r="I804" s="449"/>
      <c r="J804" s="449"/>
      <c r="K804" s="449"/>
      <c r="L804" s="449"/>
      <c r="M804" s="449"/>
      <c r="N804" s="449"/>
      <c r="O804" s="449"/>
      <c r="P804" s="449"/>
      <c r="Q804" s="449"/>
      <c r="R804" s="449"/>
      <c r="S804" s="449"/>
      <c r="T804" s="449"/>
      <c r="U804" s="449"/>
      <c r="V804" s="449"/>
    </row>
    <row r="805" spans="1:22" ht="12.3" customHeight="1">
      <c r="A805" s="450" t="s">
        <v>69</v>
      </c>
      <c r="B805" s="451"/>
      <c r="C805" s="454" t="s">
        <v>14</v>
      </c>
      <c r="D805" s="455"/>
      <c r="E805" s="455"/>
      <c r="F805" s="455"/>
      <c r="G805" s="455"/>
      <c r="H805" s="455"/>
      <c r="I805" s="455"/>
      <c r="J805" s="455"/>
      <c r="K805" s="455"/>
      <c r="L805" s="455"/>
      <c r="M805" s="455"/>
      <c r="N805" s="455"/>
      <c r="O805" s="455"/>
      <c r="P805" s="455"/>
      <c r="Q805" s="455"/>
      <c r="R805" s="455"/>
      <c r="S805" s="455"/>
      <c r="T805" s="455"/>
      <c r="U805" s="455"/>
    </row>
    <row r="806" spans="1:22" ht="9" customHeight="1">
      <c r="A806" s="452"/>
      <c r="B806" s="453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58" t="s">
        <v>177</v>
      </c>
      <c r="B807" s="558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62" t="s">
        <v>3</v>
      </c>
      <c r="B808" s="562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63" t="s">
        <v>5</v>
      </c>
      <c r="B809" s="563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64" t="s">
        <v>7</v>
      </c>
      <c r="B810" s="564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58" t="s">
        <v>178</v>
      </c>
      <c r="B811" s="558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62" t="s">
        <v>3</v>
      </c>
      <c r="B812" s="562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63" t="s">
        <v>5</v>
      </c>
      <c r="B813" s="563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64" t="s">
        <v>7</v>
      </c>
      <c r="B814" s="564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58" t="s">
        <v>179</v>
      </c>
      <c r="B815" s="558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62" t="s">
        <v>3</v>
      </c>
      <c r="B816" s="562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63" t="s">
        <v>5</v>
      </c>
      <c r="B817" s="563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64" t="s">
        <v>7</v>
      </c>
      <c r="B818" s="564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58" t="s">
        <v>180</v>
      </c>
      <c r="B819" s="558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62" t="s">
        <v>3</v>
      </c>
      <c r="B820" s="562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63" t="s">
        <v>5</v>
      </c>
      <c r="B821" s="563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64" t="s">
        <v>7</v>
      </c>
      <c r="B822" s="564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58" t="s">
        <v>181</v>
      </c>
      <c r="B823" s="558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62" t="s">
        <v>3</v>
      </c>
      <c r="B824" s="562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63" t="s">
        <v>5</v>
      </c>
      <c r="B825" s="563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64" t="s">
        <v>7</v>
      </c>
      <c r="B826" s="564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58" t="s">
        <v>182</v>
      </c>
      <c r="B827" s="558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62" t="s">
        <v>3</v>
      </c>
      <c r="B828" s="562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63" t="s">
        <v>5</v>
      </c>
      <c r="B829" s="563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64" t="s">
        <v>7</v>
      </c>
      <c r="B830" s="564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58" t="s">
        <v>183</v>
      </c>
      <c r="B831" s="558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62" t="s">
        <v>3</v>
      </c>
      <c r="B832" s="562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63" t="s">
        <v>5</v>
      </c>
      <c r="B833" s="563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64" t="s">
        <v>7</v>
      </c>
      <c r="B834" s="564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58" t="s">
        <v>184</v>
      </c>
      <c r="B835" s="558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62" t="s">
        <v>3</v>
      </c>
      <c r="B836" s="562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63" t="s">
        <v>5</v>
      </c>
      <c r="B837" s="563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64" t="s">
        <v>7</v>
      </c>
      <c r="B838" s="564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58" t="s">
        <v>185</v>
      </c>
      <c r="B839" s="558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62" t="s">
        <v>3</v>
      </c>
      <c r="B840" s="562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63" t="s">
        <v>5</v>
      </c>
      <c r="B841" s="563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64" t="s">
        <v>7</v>
      </c>
      <c r="B842" s="564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58" t="s">
        <v>186</v>
      </c>
      <c r="B843" s="558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62" t="s">
        <v>3</v>
      </c>
      <c r="B844" s="562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63" t="s">
        <v>5</v>
      </c>
      <c r="B845" s="563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64" t="s">
        <v>7</v>
      </c>
      <c r="B846" s="564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58" t="s">
        <v>187</v>
      </c>
      <c r="B847" s="558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62" t="s">
        <v>3</v>
      </c>
      <c r="B848" s="562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63" t="s">
        <v>5</v>
      </c>
      <c r="B849" s="563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64" t="s">
        <v>7</v>
      </c>
      <c r="B850" s="564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58" t="s">
        <v>188</v>
      </c>
      <c r="B851" s="558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62" t="s">
        <v>3</v>
      </c>
      <c r="B852" s="562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63" t="s">
        <v>5</v>
      </c>
      <c r="B853" s="563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64" t="s">
        <v>7</v>
      </c>
      <c r="B854" s="564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58" t="s">
        <v>189</v>
      </c>
      <c r="B855" s="558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62" t="s">
        <v>3</v>
      </c>
      <c r="B856" s="562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63" t="s">
        <v>5</v>
      </c>
      <c r="B857" s="563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64" t="s">
        <v>7</v>
      </c>
      <c r="B858" s="564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58" t="s">
        <v>190</v>
      </c>
      <c r="B859" s="558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62" t="s">
        <v>3</v>
      </c>
      <c r="B860" s="562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63" t="s">
        <v>5</v>
      </c>
      <c r="B861" s="563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63" t="s">
        <v>7</v>
      </c>
      <c r="B862" s="563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49" t="s">
        <v>193</v>
      </c>
      <c r="B864" s="449"/>
      <c r="C864" s="449"/>
      <c r="D864" s="449"/>
      <c r="E864" s="449"/>
      <c r="F864" s="449"/>
      <c r="G864" s="449"/>
      <c r="H864" s="449"/>
      <c r="I864" s="449"/>
      <c r="J864" s="449"/>
      <c r="K864" s="449"/>
      <c r="L864" s="449"/>
      <c r="M864" s="449"/>
    </row>
    <row r="865" spans="1:12" ht="12.75" customHeight="1">
      <c r="A865" s="450" t="s">
        <v>11</v>
      </c>
      <c r="B865" s="450" t="s">
        <v>12</v>
      </c>
      <c r="C865" s="450"/>
      <c r="D865" s="470" t="s">
        <v>13</v>
      </c>
      <c r="E865" s="454" t="s">
        <v>14</v>
      </c>
      <c r="F865" s="455"/>
      <c r="G865" s="455"/>
      <c r="H865" s="455"/>
      <c r="I865" s="455"/>
      <c r="J865" s="455"/>
      <c r="K865" s="455"/>
      <c r="L865" s="455"/>
    </row>
    <row r="866" spans="1:12" ht="12" customHeight="1">
      <c r="A866" s="452"/>
      <c r="B866" s="452"/>
      <c r="C866" s="452"/>
      <c r="D866" s="471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68">
        <v>1800</v>
      </c>
      <c r="C867" s="468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65">
        <v>1500</v>
      </c>
      <c r="C868" s="465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65">
        <v>1200</v>
      </c>
      <c r="C869" s="465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67">
        <v>1000</v>
      </c>
      <c r="C870" s="467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68">
        <v>1800</v>
      </c>
      <c r="C871" s="468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65">
        <v>1500</v>
      </c>
      <c r="C872" s="465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65">
        <v>1200</v>
      </c>
      <c r="C873" s="465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67">
        <v>1000</v>
      </c>
      <c r="C874" s="467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68">
        <v>1800</v>
      </c>
      <c r="C875" s="468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65">
        <v>1500</v>
      </c>
      <c r="C876" s="465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65">
        <v>1200</v>
      </c>
      <c r="C877" s="465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67">
        <v>1000</v>
      </c>
      <c r="C878" s="467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68">
        <v>1800</v>
      </c>
      <c r="C879" s="468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65">
        <v>1500</v>
      </c>
      <c r="C880" s="465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65">
        <v>1200</v>
      </c>
      <c r="C881" s="465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67">
        <v>1000</v>
      </c>
      <c r="C882" s="467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68">
        <v>1800</v>
      </c>
      <c r="C883" s="468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65">
        <v>1500</v>
      </c>
      <c r="C884" s="465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65">
        <v>1200</v>
      </c>
      <c r="C885" s="465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67">
        <v>1000</v>
      </c>
      <c r="C886" s="467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68">
        <v>1800</v>
      </c>
      <c r="C887" s="468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65">
        <v>1500</v>
      </c>
      <c r="C888" s="465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65">
        <v>1200</v>
      </c>
      <c r="C889" s="465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67">
        <v>1000</v>
      </c>
      <c r="C890" s="467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68">
        <v>1800</v>
      </c>
      <c r="C891" s="468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65">
        <v>1500</v>
      </c>
      <c r="C892" s="465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65">
        <v>1200</v>
      </c>
      <c r="C893" s="465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67">
        <v>1000</v>
      </c>
      <c r="C894" s="467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68">
        <v>1800</v>
      </c>
      <c r="C895" s="468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65">
        <v>1500</v>
      </c>
      <c r="C896" s="465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65">
        <v>1200</v>
      </c>
      <c r="C897" s="465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67">
        <v>1000</v>
      </c>
      <c r="C898" s="467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68">
        <v>1800</v>
      </c>
      <c r="C899" s="468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65">
        <v>1500</v>
      </c>
      <c r="C900" s="465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65">
        <v>1200</v>
      </c>
      <c r="C901" s="465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67">
        <v>1000</v>
      </c>
      <c r="C902" s="467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68">
        <v>1800</v>
      </c>
      <c r="C903" s="468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65">
        <v>1500</v>
      </c>
      <c r="C904" s="465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65">
        <v>1200</v>
      </c>
      <c r="C905" s="465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67">
        <v>1000</v>
      </c>
      <c r="C906" s="467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68">
        <v>1800</v>
      </c>
      <c r="C907" s="468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65">
        <v>1500</v>
      </c>
      <c r="C908" s="465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65">
        <v>1200</v>
      </c>
      <c r="C909" s="465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67">
        <v>1000</v>
      </c>
      <c r="C910" s="467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68">
        <v>1800</v>
      </c>
      <c r="C911" s="468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65">
        <v>1500</v>
      </c>
      <c r="C912" s="465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65">
        <v>1200</v>
      </c>
      <c r="C913" s="465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67">
        <v>1000</v>
      </c>
      <c r="C914" s="467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68">
        <v>1800</v>
      </c>
      <c r="C915" s="468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65">
        <v>1500</v>
      </c>
      <c r="C916" s="465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65">
        <v>1200</v>
      </c>
      <c r="C917" s="465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67">
        <v>1000</v>
      </c>
      <c r="C918" s="467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68">
        <v>1800</v>
      </c>
      <c r="C919" s="468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65">
        <v>1500</v>
      </c>
      <c r="C920" s="465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65">
        <v>1200</v>
      </c>
      <c r="C921" s="465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67">
        <v>1000</v>
      </c>
      <c r="C922" s="467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68">
        <v>1800</v>
      </c>
      <c r="C923" s="468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65">
        <v>1500</v>
      </c>
      <c r="C924" s="465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65">
        <v>1200</v>
      </c>
      <c r="C925" s="465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65">
        <v>1000</v>
      </c>
      <c r="C926" s="465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49" t="s">
        <v>193</v>
      </c>
      <c r="B928" s="449"/>
      <c r="C928" s="449"/>
      <c r="D928" s="449"/>
      <c r="E928" s="449"/>
      <c r="F928" s="449"/>
      <c r="G928" s="449"/>
      <c r="H928" s="449"/>
      <c r="I928" s="449"/>
      <c r="J928" s="449"/>
      <c r="K928" s="449"/>
      <c r="L928" s="449"/>
      <c r="M928" s="449"/>
      <c r="N928" s="449"/>
      <c r="O928" s="449"/>
      <c r="P928" s="449"/>
      <c r="Q928" s="449"/>
      <c r="R928" s="449"/>
      <c r="S928" s="449"/>
      <c r="T928" s="449"/>
      <c r="U928" s="449"/>
    </row>
    <row r="929" spans="1:20" ht="12.75" customHeight="1">
      <c r="A929" s="450" t="s">
        <v>11</v>
      </c>
      <c r="B929" s="450" t="s">
        <v>12</v>
      </c>
      <c r="C929" s="450"/>
      <c r="D929" s="470" t="s">
        <v>13</v>
      </c>
      <c r="E929" s="454" t="s">
        <v>14</v>
      </c>
      <c r="F929" s="455"/>
      <c r="G929" s="455"/>
      <c r="H929" s="455"/>
      <c r="I929" s="455"/>
      <c r="J929" s="455"/>
      <c r="K929" s="455"/>
      <c r="L929" s="455"/>
      <c r="M929" s="455"/>
      <c r="N929" s="455"/>
      <c r="O929" s="455"/>
      <c r="P929" s="455"/>
      <c r="Q929" s="455"/>
      <c r="R929" s="455"/>
      <c r="S929" s="455"/>
      <c r="T929" s="455"/>
    </row>
    <row r="930" spans="1:20" ht="12" customHeight="1">
      <c r="A930" s="452"/>
      <c r="B930" s="452"/>
      <c r="C930" s="452"/>
      <c r="D930" s="471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46">
        <v>1800</v>
      </c>
      <c r="C931" s="546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47" t="s">
        <v>194</v>
      </c>
      <c r="L931" s="37" t="s">
        <v>1</v>
      </c>
      <c r="M931" s="547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81"/>
      <c r="B932" s="549">
        <v>1500</v>
      </c>
      <c r="C932" s="549"/>
      <c r="D932" s="557">
        <v>67</v>
      </c>
      <c r="E932" s="551">
        <v>617</v>
      </c>
      <c r="F932" s="554" t="s">
        <v>1</v>
      </c>
      <c r="G932" s="553">
        <v>1073</v>
      </c>
      <c r="H932" s="554" t="s">
        <v>1</v>
      </c>
      <c r="I932" s="553">
        <v>1403</v>
      </c>
      <c r="J932" s="554" t="s">
        <v>1</v>
      </c>
      <c r="K932" s="548"/>
      <c r="L932" s="554" t="s">
        <v>1</v>
      </c>
      <c r="M932" s="548"/>
      <c r="N932" s="554" t="s">
        <v>1</v>
      </c>
      <c r="O932" s="554" t="s">
        <v>21</v>
      </c>
      <c r="P932" s="554" t="s">
        <v>1</v>
      </c>
      <c r="Q932" s="554" t="s">
        <v>21</v>
      </c>
      <c r="R932" s="554" t="s">
        <v>1</v>
      </c>
      <c r="S932" s="554" t="s">
        <v>21</v>
      </c>
      <c r="T932" s="555" t="s">
        <v>1</v>
      </c>
    </row>
    <row r="933" spans="1:20" ht="9" customHeight="1">
      <c r="A933" s="481"/>
      <c r="B933" s="549"/>
      <c r="C933" s="549"/>
      <c r="D933" s="557"/>
      <c r="E933" s="551"/>
      <c r="F933" s="554"/>
      <c r="G933" s="553"/>
      <c r="H933" s="554"/>
      <c r="I933" s="553"/>
      <c r="J933" s="554"/>
      <c r="K933" s="41">
        <v>2104</v>
      </c>
      <c r="L933" s="554"/>
      <c r="M933" s="574">
        <v>2946</v>
      </c>
      <c r="N933" s="554"/>
      <c r="O933" s="554"/>
      <c r="P933" s="554"/>
      <c r="Q933" s="554"/>
      <c r="R933" s="554"/>
      <c r="S933" s="554"/>
      <c r="T933" s="555"/>
    </row>
    <row r="934" spans="1:20" ht="2.5499999999999998" customHeight="1">
      <c r="A934" s="481"/>
      <c r="B934" s="549">
        <v>1200</v>
      </c>
      <c r="C934" s="549"/>
      <c r="D934" s="557">
        <v>54</v>
      </c>
      <c r="E934" s="551">
        <v>497</v>
      </c>
      <c r="F934" s="554" t="s">
        <v>1</v>
      </c>
      <c r="G934" s="553">
        <v>865</v>
      </c>
      <c r="H934" s="554" t="s">
        <v>1</v>
      </c>
      <c r="I934" s="553">
        <v>1130</v>
      </c>
      <c r="J934" s="554" t="s">
        <v>1</v>
      </c>
      <c r="K934" s="553">
        <v>1696</v>
      </c>
      <c r="L934" s="554" t="s">
        <v>1</v>
      </c>
      <c r="M934" s="574"/>
      <c r="N934" s="554" t="s">
        <v>1</v>
      </c>
      <c r="O934" s="553">
        <v>3366</v>
      </c>
      <c r="P934" s="554" t="s">
        <v>1</v>
      </c>
      <c r="Q934" s="553">
        <v>4824</v>
      </c>
      <c r="R934" s="554" t="s">
        <v>1</v>
      </c>
      <c r="S934" s="554" t="s">
        <v>21</v>
      </c>
      <c r="T934" s="555" t="s">
        <v>1</v>
      </c>
    </row>
    <row r="935" spans="1:20" ht="9" customHeight="1">
      <c r="A935" s="481"/>
      <c r="B935" s="549"/>
      <c r="C935" s="549"/>
      <c r="D935" s="557"/>
      <c r="E935" s="551"/>
      <c r="F935" s="554"/>
      <c r="G935" s="553"/>
      <c r="H935" s="554"/>
      <c r="I935" s="553"/>
      <c r="J935" s="554"/>
      <c r="K935" s="553"/>
      <c r="L935" s="554"/>
      <c r="M935" s="41">
        <v>2374</v>
      </c>
      <c r="N935" s="554"/>
      <c r="O935" s="553"/>
      <c r="P935" s="554"/>
      <c r="Q935" s="553"/>
      <c r="R935" s="554"/>
      <c r="S935" s="554"/>
      <c r="T935" s="555"/>
    </row>
    <row r="936" spans="1:20" ht="11.55" customHeight="1">
      <c r="A936" s="45"/>
      <c r="B936" s="556">
        <v>1000</v>
      </c>
      <c r="C936" s="556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46">
        <v>1800</v>
      </c>
      <c r="C937" s="546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47" t="s">
        <v>196</v>
      </c>
      <c r="L937" s="547" t="s">
        <v>197</v>
      </c>
      <c r="M937" s="547" t="s">
        <v>198</v>
      </c>
      <c r="N937" s="547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81"/>
      <c r="B938" s="549">
        <v>1500</v>
      </c>
      <c r="C938" s="549"/>
      <c r="D938" s="557">
        <v>60</v>
      </c>
      <c r="E938" s="551">
        <v>552</v>
      </c>
      <c r="F938" s="554" t="s">
        <v>1</v>
      </c>
      <c r="G938" s="553">
        <v>961</v>
      </c>
      <c r="H938" s="553">
        <v>1086</v>
      </c>
      <c r="I938" s="553">
        <v>1256</v>
      </c>
      <c r="J938" s="553">
        <v>1507</v>
      </c>
      <c r="K938" s="548"/>
      <c r="L938" s="548"/>
      <c r="M938" s="548"/>
      <c r="N938" s="548"/>
      <c r="O938" s="554" t="s">
        <v>21</v>
      </c>
      <c r="P938" s="554" t="s">
        <v>21</v>
      </c>
      <c r="Q938" s="554" t="s">
        <v>21</v>
      </c>
      <c r="R938" s="554" t="s">
        <v>21</v>
      </c>
      <c r="S938" s="554" t="s">
        <v>21</v>
      </c>
      <c r="T938" s="555" t="s">
        <v>21</v>
      </c>
    </row>
    <row r="939" spans="1:20" ht="9" customHeight="1">
      <c r="A939" s="481"/>
      <c r="B939" s="549"/>
      <c r="C939" s="549"/>
      <c r="D939" s="557"/>
      <c r="E939" s="551"/>
      <c r="F939" s="554"/>
      <c r="G939" s="553"/>
      <c r="H939" s="553"/>
      <c r="I939" s="553"/>
      <c r="J939" s="553"/>
      <c r="K939" s="41">
        <v>1884</v>
      </c>
      <c r="L939" s="41">
        <v>2167</v>
      </c>
      <c r="M939" s="574">
        <v>2638</v>
      </c>
      <c r="N939" s="574">
        <v>2952</v>
      </c>
      <c r="O939" s="554"/>
      <c r="P939" s="554"/>
      <c r="Q939" s="554"/>
      <c r="R939" s="554"/>
      <c r="S939" s="554"/>
      <c r="T939" s="555"/>
    </row>
    <row r="940" spans="1:20" ht="2.5499999999999998" customHeight="1">
      <c r="A940" s="481"/>
      <c r="B940" s="549">
        <v>1200</v>
      </c>
      <c r="C940" s="549"/>
      <c r="D940" s="557">
        <v>48</v>
      </c>
      <c r="E940" s="551">
        <v>442</v>
      </c>
      <c r="F940" s="554" t="s">
        <v>1</v>
      </c>
      <c r="G940" s="553">
        <v>769</v>
      </c>
      <c r="H940" s="553">
        <v>869</v>
      </c>
      <c r="I940" s="553">
        <v>1005</v>
      </c>
      <c r="J940" s="553">
        <v>1206</v>
      </c>
      <c r="K940" s="553">
        <v>1507</v>
      </c>
      <c r="L940" s="553">
        <v>1734</v>
      </c>
      <c r="M940" s="574"/>
      <c r="N940" s="574"/>
      <c r="O940" s="553">
        <v>3116</v>
      </c>
      <c r="P940" s="553">
        <v>3393</v>
      </c>
      <c r="Q940" s="553">
        <v>4323</v>
      </c>
      <c r="R940" s="553">
        <v>5177</v>
      </c>
      <c r="S940" s="554" t="s">
        <v>21</v>
      </c>
      <c r="T940" s="555" t="s">
        <v>21</v>
      </c>
    </row>
    <row r="941" spans="1:20" ht="9" customHeight="1">
      <c r="A941" s="481"/>
      <c r="B941" s="549"/>
      <c r="C941" s="549"/>
      <c r="D941" s="557"/>
      <c r="E941" s="551"/>
      <c r="F941" s="554"/>
      <c r="G941" s="553"/>
      <c r="H941" s="553"/>
      <c r="I941" s="553"/>
      <c r="J941" s="553"/>
      <c r="K941" s="553"/>
      <c r="L941" s="553"/>
      <c r="M941" s="41">
        <v>2110</v>
      </c>
      <c r="N941" s="41">
        <v>2362</v>
      </c>
      <c r="O941" s="553"/>
      <c r="P941" s="553"/>
      <c r="Q941" s="553"/>
      <c r="R941" s="553"/>
      <c r="S941" s="554"/>
      <c r="T941" s="555"/>
    </row>
    <row r="942" spans="1:20" ht="11.55" customHeight="1">
      <c r="A942" s="45"/>
      <c r="B942" s="556">
        <v>1000</v>
      </c>
      <c r="C942" s="556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46">
        <v>1800</v>
      </c>
      <c r="C943" s="546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47" t="s">
        <v>201</v>
      </c>
      <c r="M943" s="547" t="s">
        <v>202</v>
      </c>
      <c r="N943" s="547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81"/>
      <c r="B944" s="549">
        <v>1500</v>
      </c>
      <c r="C944" s="549"/>
      <c r="D944" s="557">
        <v>54</v>
      </c>
      <c r="E944" s="551">
        <v>497</v>
      </c>
      <c r="F944" s="553">
        <v>616</v>
      </c>
      <c r="G944" s="553">
        <v>865</v>
      </c>
      <c r="H944" s="553">
        <v>978</v>
      </c>
      <c r="I944" s="553">
        <v>1130</v>
      </c>
      <c r="J944" s="553">
        <v>1357</v>
      </c>
      <c r="K944" s="553">
        <v>1696</v>
      </c>
      <c r="L944" s="548"/>
      <c r="M944" s="548"/>
      <c r="N944" s="548"/>
      <c r="O944" s="554" t="s">
        <v>21</v>
      </c>
      <c r="P944" s="554" t="s">
        <v>21</v>
      </c>
      <c r="Q944" s="554" t="s">
        <v>21</v>
      </c>
      <c r="R944" s="554" t="s">
        <v>21</v>
      </c>
      <c r="S944" s="554" t="s">
        <v>21</v>
      </c>
      <c r="T944" s="555" t="s">
        <v>21</v>
      </c>
    </row>
    <row r="945" spans="1:20" ht="9" customHeight="1">
      <c r="A945" s="481"/>
      <c r="B945" s="549"/>
      <c r="C945" s="549"/>
      <c r="D945" s="557"/>
      <c r="E945" s="551"/>
      <c r="F945" s="553"/>
      <c r="G945" s="553"/>
      <c r="H945" s="553"/>
      <c r="I945" s="553"/>
      <c r="J945" s="553"/>
      <c r="K945" s="553"/>
      <c r="L945" s="41">
        <v>1950</v>
      </c>
      <c r="M945" s="41">
        <v>2374</v>
      </c>
      <c r="N945" s="574">
        <v>2657</v>
      </c>
      <c r="O945" s="554"/>
      <c r="P945" s="554"/>
      <c r="Q945" s="554"/>
      <c r="R945" s="554"/>
      <c r="S945" s="554"/>
      <c r="T945" s="555"/>
    </row>
    <row r="946" spans="1:20" ht="2.5499999999999998" customHeight="1">
      <c r="A946" s="481"/>
      <c r="B946" s="549">
        <v>1200</v>
      </c>
      <c r="C946" s="549"/>
      <c r="D946" s="557">
        <v>43</v>
      </c>
      <c r="E946" s="551">
        <v>396</v>
      </c>
      <c r="F946" s="553">
        <v>490</v>
      </c>
      <c r="G946" s="553">
        <v>688</v>
      </c>
      <c r="H946" s="553">
        <v>778</v>
      </c>
      <c r="I946" s="553">
        <v>900</v>
      </c>
      <c r="J946" s="553">
        <v>1080</v>
      </c>
      <c r="K946" s="553">
        <v>1350</v>
      </c>
      <c r="L946" s="553">
        <v>1553</v>
      </c>
      <c r="M946" s="553">
        <v>1891</v>
      </c>
      <c r="N946" s="574"/>
      <c r="O946" s="553">
        <v>2872</v>
      </c>
      <c r="P946" s="553">
        <v>3141</v>
      </c>
      <c r="Q946" s="553">
        <v>3859</v>
      </c>
      <c r="R946" s="553">
        <v>4622</v>
      </c>
      <c r="S946" s="554" t="s">
        <v>21</v>
      </c>
      <c r="T946" s="555" t="s">
        <v>21</v>
      </c>
    </row>
    <row r="947" spans="1:20" ht="9" customHeight="1">
      <c r="A947" s="481"/>
      <c r="B947" s="549"/>
      <c r="C947" s="549"/>
      <c r="D947" s="557"/>
      <c r="E947" s="551"/>
      <c r="F947" s="553"/>
      <c r="G947" s="553"/>
      <c r="H947" s="553"/>
      <c r="I947" s="553"/>
      <c r="J947" s="553"/>
      <c r="K947" s="553"/>
      <c r="L947" s="553"/>
      <c r="M947" s="553"/>
      <c r="N947" s="41">
        <v>2116</v>
      </c>
      <c r="O947" s="553"/>
      <c r="P947" s="553"/>
      <c r="Q947" s="553"/>
      <c r="R947" s="553"/>
      <c r="S947" s="554"/>
      <c r="T947" s="555"/>
    </row>
    <row r="948" spans="1:20" ht="11.55" customHeight="1">
      <c r="A948" s="45"/>
      <c r="B948" s="556">
        <v>1000</v>
      </c>
      <c r="C948" s="556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46">
        <v>1800</v>
      </c>
      <c r="C949" s="546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47" t="s">
        <v>206</v>
      </c>
      <c r="N949" s="547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81"/>
      <c r="B950" s="549">
        <v>1500</v>
      </c>
      <c r="C950" s="549"/>
      <c r="D950" s="557">
        <v>48</v>
      </c>
      <c r="E950" s="551">
        <v>442</v>
      </c>
      <c r="F950" s="553">
        <v>547</v>
      </c>
      <c r="G950" s="553">
        <v>769</v>
      </c>
      <c r="H950" s="553">
        <v>869</v>
      </c>
      <c r="I950" s="553">
        <v>1005</v>
      </c>
      <c r="J950" s="553">
        <v>1206</v>
      </c>
      <c r="K950" s="553">
        <v>1507</v>
      </c>
      <c r="L950" s="553">
        <v>1734</v>
      </c>
      <c r="M950" s="548"/>
      <c r="N950" s="548"/>
      <c r="O950" s="554" t="s">
        <v>21</v>
      </c>
      <c r="P950" s="554" t="s">
        <v>21</v>
      </c>
      <c r="Q950" s="554" t="s">
        <v>21</v>
      </c>
      <c r="R950" s="554" t="s">
        <v>21</v>
      </c>
      <c r="S950" s="554" t="s">
        <v>21</v>
      </c>
      <c r="T950" s="555" t="s">
        <v>21</v>
      </c>
    </row>
    <row r="951" spans="1:20" ht="9" customHeight="1">
      <c r="A951" s="481"/>
      <c r="B951" s="549"/>
      <c r="C951" s="549"/>
      <c r="D951" s="557"/>
      <c r="E951" s="551"/>
      <c r="F951" s="553"/>
      <c r="G951" s="553"/>
      <c r="H951" s="553"/>
      <c r="I951" s="553"/>
      <c r="J951" s="553"/>
      <c r="K951" s="553"/>
      <c r="L951" s="553"/>
      <c r="M951" s="41">
        <v>2110</v>
      </c>
      <c r="N951" s="41">
        <v>2362</v>
      </c>
      <c r="O951" s="554"/>
      <c r="P951" s="554"/>
      <c r="Q951" s="554"/>
      <c r="R951" s="554"/>
      <c r="S951" s="554"/>
      <c r="T951" s="555"/>
    </row>
    <row r="952" spans="1:20" ht="9.3000000000000007" customHeight="1">
      <c r="A952" s="1"/>
      <c r="B952" s="549">
        <v>1200</v>
      </c>
      <c r="C952" s="549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56">
        <v>1000</v>
      </c>
      <c r="C953" s="556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46">
        <v>1800</v>
      </c>
      <c r="C954" s="546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47" t="s">
        <v>210</v>
      </c>
      <c r="N954" s="547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81"/>
      <c r="B955" s="549">
        <v>1500</v>
      </c>
      <c r="C955" s="549"/>
      <c r="D955" s="557">
        <v>42</v>
      </c>
      <c r="E955" s="551">
        <v>387</v>
      </c>
      <c r="F955" s="553">
        <v>479</v>
      </c>
      <c r="G955" s="553">
        <v>672</v>
      </c>
      <c r="H955" s="553">
        <v>760</v>
      </c>
      <c r="I955" s="553">
        <v>879</v>
      </c>
      <c r="J955" s="553">
        <v>1055</v>
      </c>
      <c r="K955" s="553">
        <v>1319</v>
      </c>
      <c r="L955" s="553">
        <v>1517</v>
      </c>
      <c r="M955" s="548"/>
      <c r="N955" s="548"/>
      <c r="O955" s="554" t="s">
        <v>21</v>
      </c>
      <c r="P955" s="554" t="s">
        <v>21</v>
      </c>
      <c r="Q955" s="554" t="s">
        <v>21</v>
      </c>
      <c r="R955" s="554" t="s">
        <v>21</v>
      </c>
      <c r="S955" s="554" t="s">
        <v>21</v>
      </c>
      <c r="T955" s="555" t="s">
        <v>21</v>
      </c>
    </row>
    <row r="956" spans="1:20" ht="9" customHeight="1">
      <c r="A956" s="481"/>
      <c r="B956" s="549"/>
      <c r="C956" s="549"/>
      <c r="D956" s="557"/>
      <c r="E956" s="551"/>
      <c r="F956" s="553"/>
      <c r="G956" s="553"/>
      <c r="H956" s="553"/>
      <c r="I956" s="553"/>
      <c r="J956" s="553"/>
      <c r="K956" s="553"/>
      <c r="L956" s="553"/>
      <c r="M956" s="41">
        <v>1847</v>
      </c>
      <c r="N956" s="41">
        <v>2067</v>
      </c>
      <c r="O956" s="554"/>
      <c r="P956" s="554"/>
      <c r="Q956" s="554"/>
      <c r="R956" s="554"/>
      <c r="S956" s="554"/>
      <c r="T956" s="555"/>
    </row>
    <row r="957" spans="1:20" ht="9.3000000000000007" customHeight="1">
      <c r="A957" s="1"/>
      <c r="B957" s="549">
        <v>1200</v>
      </c>
      <c r="C957" s="549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56">
        <v>1000</v>
      </c>
      <c r="C958" s="556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46">
        <v>1800</v>
      </c>
      <c r="C959" s="546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47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81"/>
      <c r="B960" s="549">
        <v>1500</v>
      </c>
      <c r="C960" s="549"/>
      <c r="D960" s="557">
        <v>38</v>
      </c>
      <c r="E960" s="551">
        <v>350</v>
      </c>
      <c r="F960" s="553">
        <v>433</v>
      </c>
      <c r="G960" s="553">
        <v>608</v>
      </c>
      <c r="H960" s="553">
        <v>688</v>
      </c>
      <c r="I960" s="553">
        <v>795</v>
      </c>
      <c r="J960" s="553">
        <v>954</v>
      </c>
      <c r="K960" s="553">
        <v>1193</v>
      </c>
      <c r="L960" s="553">
        <v>1372</v>
      </c>
      <c r="M960" s="553">
        <v>1671</v>
      </c>
      <c r="N960" s="548"/>
      <c r="O960" s="554" t="s">
        <v>21</v>
      </c>
      <c r="P960" s="554" t="s">
        <v>21</v>
      </c>
      <c r="Q960" s="554" t="s">
        <v>21</v>
      </c>
      <c r="R960" s="554" t="s">
        <v>21</v>
      </c>
      <c r="S960" s="554" t="s">
        <v>21</v>
      </c>
      <c r="T960" s="555" t="s">
        <v>21</v>
      </c>
    </row>
    <row r="961" spans="1:20" ht="9" customHeight="1">
      <c r="A961" s="481"/>
      <c r="B961" s="549"/>
      <c r="C961" s="549"/>
      <c r="D961" s="557"/>
      <c r="E961" s="551"/>
      <c r="F961" s="553"/>
      <c r="G961" s="553"/>
      <c r="H961" s="553"/>
      <c r="I961" s="553"/>
      <c r="J961" s="553"/>
      <c r="K961" s="553"/>
      <c r="L961" s="553"/>
      <c r="M961" s="553"/>
      <c r="N961" s="41">
        <v>1870</v>
      </c>
      <c r="O961" s="554"/>
      <c r="P961" s="554"/>
      <c r="Q961" s="554"/>
      <c r="R961" s="554"/>
      <c r="S961" s="554"/>
      <c r="T961" s="555"/>
    </row>
    <row r="962" spans="1:20" ht="9.3000000000000007" customHeight="1">
      <c r="A962" s="1"/>
      <c r="B962" s="549">
        <v>1200</v>
      </c>
      <c r="C962" s="549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56">
        <v>1000</v>
      </c>
      <c r="C963" s="556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46">
        <v>1800</v>
      </c>
      <c r="C964" s="546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49">
        <v>1500</v>
      </c>
      <c r="C965" s="549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49">
        <v>1200</v>
      </c>
      <c r="C966" s="549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56">
        <v>1000</v>
      </c>
      <c r="C967" s="556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46">
        <v>1800</v>
      </c>
      <c r="C968" s="546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49">
        <v>1500</v>
      </c>
      <c r="C969" s="549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49">
        <v>1200</v>
      </c>
      <c r="C970" s="549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56">
        <v>1000</v>
      </c>
      <c r="C971" s="556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46">
        <v>1800</v>
      </c>
      <c r="C972" s="546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49">
        <v>1500</v>
      </c>
      <c r="C973" s="549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49">
        <v>1200</v>
      </c>
      <c r="C974" s="549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56">
        <v>1000</v>
      </c>
      <c r="C975" s="556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46">
        <v>1800</v>
      </c>
      <c r="C976" s="546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49">
        <v>1500</v>
      </c>
      <c r="C977" s="549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49">
        <v>1200</v>
      </c>
      <c r="C978" s="549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56">
        <v>1000</v>
      </c>
      <c r="C979" s="556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46">
        <v>1800</v>
      </c>
      <c r="C980" s="546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49">
        <v>1500</v>
      </c>
      <c r="C981" s="549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49">
        <v>1200</v>
      </c>
      <c r="C982" s="549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56">
        <v>1000</v>
      </c>
      <c r="C983" s="556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46">
        <v>1800</v>
      </c>
      <c r="C984" s="546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49">
        <v>1500</v>
      </c>
      <c r="C985" s="549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49">
        <v>1200</v>
      </c>
      <c r="C986" s="549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56">
        <v>1000</v>
      </c>
      <c r="C987" s="556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46">
        <v>1800</v>
      </c>
      <c r="C988" s="546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49">
        <v>1500</v>
      </c>
      <c r="C989" s="549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49">
        <v>1200</v>
      </c>
      <c r="C990" s="549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56">
        <v>1000</v>
      </c>
      <c r="C991" s="556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46">
        <v>1800</v>
      </c>
      <c r="C992" s="546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49">
        <v>1500</v>
      </c>
      <c r="C993" s="549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49">
        <v>1200</v>
      </c>
      <c r="C994" s="549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56">
        <v>1000</v>
      </c>
      <c r="C995" s="556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46">
        <v>1800</v>
      </c>
      <c r="C996" s="546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49">
        <v>1500</v>
      </c>
      <c r="C997" s="549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49">
        <v>1200</v>
      </c>
      <c r="C998" s="549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49">
        <v>1000</v>
      </c>
      <c r="C999" s="549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49" t="s">
        <v>234</v>
      </c>
      <c r="B1001" s="449"/>
      <c r="C1001" s="449"/>
      <c r="D1001" s="449"/>
      <c r="E1001" s="449"/>
      <c r="F1001" s="449"/>
      <c r="G1001" s="449"/>
      <c r="H1001" s="449"/>
      <c r="I1001" s="449"/>
      <c r="J1001" s="449"/>
      <c r="K1001" s="449"/>
      <c r="L1001" s="449"/>
      <c r="M1001" s="449"/>
      <c r="N1001" s="449"/>
    </row>
    <row r="1002" spans="1:20" ht="11.25" customHeight="1">
      <c r="A1002" s="451" t="s">
        <v>69</v>
      </c>
      <c r="B1002" s="454" t="s">
        <v>14</v>
      </c>
      <c r="C1002" s="455"/>
      <c r="D1002" s="455"/>
      <c r="E1002" s="455"/>
      <c r="F1002" s="455"/>
      <c r="G1002" s="455"/>
      <c r="H1002" s="455"/>
      <c r="I1002" s="455"/>
      <c r="J1002" s="455"/>
      <c r="K1002" s="455"/>
      <c r="L1002" s="455"/>
    </row>
    <row r="1003" spans="1:20" ht="11.25" customHeight="1">
      <c r="A1003" s="453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56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57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57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57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57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57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57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57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57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57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57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57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57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61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62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63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63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63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63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63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63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63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63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63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63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64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58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59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59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59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59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59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59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59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59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59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59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59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60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56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57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57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57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57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57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57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57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57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57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57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57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57"/>
    </row>
    <row r="1056" spans="1:20" ht="33.75" customHeight="1">
      <c r="A1056" s="449" t="s">
        <v>234</v>
      </c>
      <c r="B1056" s="449"/>
      <c r="C1056" s="449"/>
      <c r="D1056" s="449"/>
      <c r="E1056" s="449"/>
      <c r="F1056" s="449"/>
      <c r="G1056" s="449"/>
      <c r="H1056" s="449"/>
      <c r="I1056" s="449"/>
      <c r="J1056" s="449"/>
      <c r="K1056" s="449"/>
      <c r="L1056" s="449"/>
      <c r="M1056" s="449"/>
      <c r="N1056" s="449"/>
      <c r="O1056" s="449"/>
      <c r="P1056" s="449"/>
      <c r="Q1056" s="449"/>
      <c r="R1056" s="449"/>
      <c r="S1056" s="449"/>
      <c r="T1056" s="449"/>
    </row>
    <row r="1057" spans="1:18" ht="11.25" customHeight="1">
      <c r="A1057" s="451" t="s">
        <v>69</v>
      </c>
      <c r="B1057" s="454" t="s">
        <v>14</v>
      </c>
      <c r="C1057" s="455"/>
      <c r="D1057" s="455"/>
      <c r="E1057" s="455"/>
      <c r="F1057" s="455"/>
      <c r="G1057" s="455"/>
      <c r="H1057" s="455"/>
      <c r="I1057" s="455"/>
      <c r="J1057" s="455"/>
      <c r="K1057" s="455"/>
      <c r="L1057" s="455"/>
      <c r="M1057" s="455"/>
      <c r="N1057" s="455"/>
      <c r="O1057" s="455"/>
      <c r="P1057" s="455"/>
      <c r="Q1057" s="455"/>
      <c r="R1057" s="455"/>
    </row>
    <row r="1058" spans="1:18" ht="11.25" customHeight="1">
      <c r="A1058" s="453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56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57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57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57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57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57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57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57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57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57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57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57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57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61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62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63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63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63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63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63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63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63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63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63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63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64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58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59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59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59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59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59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59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59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59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59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59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59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60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56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57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57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57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57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57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57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57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57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57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57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57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57"/>
    </row>
    <row r="1112" spans="1:21" ht="40.799999999999997" customHeight="1">
      <c r="A1112" s="449" t="s">
        <v>236</v>
      </c>
      <c r="B1112" s="449"/>
      <c r="C1112" s="449"/>
      <c r="D1112" s="449"/>
      <c r="E1112" s="449"/>
      <c r="F1112" s="449"/>
      <c r="G1112" s="449"/>
      <c r="H1112" s="449"/>
      <c r="I1112" s="449"/>
      <c r="J1112" s="449"/>
      <c r="K1112" s="449"/>
      <c r="L1112" s="449"/>
      <c r="M1112" s="449"/>
      <c r="N1112" s="449"/>
      <c r="O1112" s="449"/>
      <c r="P1112" s="449"/>
      <c r="Q1112" s="449"/>
      <c r="R1112" s="449"/>
      <c r="S1112" s="449"/>
      <c r="T1112" s="449"/>
      <c r="U1112" s="449"/>
    </row>
    <row r="1113" spans="1:21" ht="12" customHeight="1">
      <c r="A1113" s="450" t="s">
        <v>69</v>
      </c>
      <c r="B1113" s="451"/>
      <c r="C1113" s="454" t="s">
        <v>14</v>
      </c>
      <c r="D1113" s="455"/>
      <c r="E1113" s="455"/>
      <c r="F1113" s="455"/>
      <c r="G1113" s="455"/>
      <c r="H1113" s="455"/>
      <c r="I1113" s="455"/>
      <c r="J1113" s="455"/>
      <c r="K1113" s="455"/>
      <c r="L1113" s="455"/>
      <c r="M1113" s="455"/>
      <c r="N1113" s="455"/>
      <c r="O1113" s="455"/>
      <c r="P1113" s="455"/>
      <c r="Q1113" s="455"/>
      <c r="R1113" s="455"/>
      <c r="S1113" s="455"/>
      <c r="T1113" s="455"/>
    </row>
    <row r="1114" spans="1:21" ht="9" customHeight="1">
      <c r="A1114" s="452"/>
      <c r="B1114" s="453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58" t="s">
        <v>237</v>
      </c>
      <c r="B1115" s="558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49" t="s">
        <v>3</v>
      </c>
      <c r="B1116" s="449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49" t="s">
        <v>5</v>
      </c>
      <c r="B1117" s="449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87" t="s">
        <v>7</v>
      </c>
      <c r="B1118" s="587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58" t="s">
        <v>238</v>
      </c>
      <c r="B1127" s="558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49" t="s">
        <v>3</v>
      </c>
      <c r="B1128" s="449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49" t="s">
        <v>5</v>
      </c>
      <c r="B1129" s="449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87" t="s">
        <v>7</v>
      </c>
      <c r="B1130" s="587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58" t="s">
        <v>239</v>
      </c>
      <c r="B1131" s="558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49" t="s">
        <v>3</v>
      </c>
      <c r="B1132" s="449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49" t="s">
        <v>5</v>
      </c>
      <c r="B1133" s="449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87" t="s">
        <v>7</v>
      </c>
      <c r="B1134" s="587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49" t="s">
        <v>240</v>
      </c>
      <c r="B1176" s="449"/>
      <c r="C1176" s="449"/>
      <c r="D1176" s="449"/>
      <c r="E1176" s="449"/>
      <c r="F1176" s="449"/>
      <c r="G1176" s="449"/>
      <c r="H1176" s="449"/>
      <c r="I1176" s="449"/>
      <c r="J1176" s="449"/>
      <c r="K1176" s="449"/>
      <c r="L1176" s="449"/>
      <c r="M1176" s="449"/>
      <c r="N1176" s="449"/>
      <c r="O1176" s="449"/>
      <c r="P1176" s="449"/>
      <c r="Q1176" s="449"/>
      <c r="R1176" s="449"/>
      <c r="S1176" s="449"/>
      <c r="T1176" s="449"/>
      <c r="U1176" s="449"/>
    </row>
    <row r="1177" spans="1:21" ht="12.3" customHeight="1">
      <c r="A1177" s="450" t="s">
        <v>69</v>
      </c>
      <c r="B1177" s="451"/>
      <c r="C1177" s="454" t="s">
        <v>14</v>
      </c>
      <c r="D1177" s="455"/>
      <c r="E1177" s="455"/>
      <c r="F1177" s="455"/>
      <c r="G1177" s="455"/>
      <c r="H1177" s="455"/>
      <c r="I1177" s="455"/>
      <c r="J1177" s="455"/>
      <c r="K1177" s="455"/>
      <c r="L1177" s="455"/>
      <c r="M1177" s="455"/>
      <c r="N1177" s="455"/>
      <c r="O1177" s="455"/>
      <c r="P1177" s="455"/>
      <c r="Q1177" s="455"/>
      <c r="R1177" s="455"/>
      <c r="S1177" s="455"/>
      <c r="T1177" s="455"/>
    </row>
    <row r="1178" spans="1:21" ht="9" customHeight="1">
      <c r="A1178" s="452"/>
      <c r="B1178" s="453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58" t="s">
        <v>237</v>
      </c>
      <c r="B1179" s="558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49" t="s">
        <v>3</v>
      </c>
      <c r="B1180" s="449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49" t="s">
        <v>5</v>
      </c>
      <c r="B1181" s="449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87" t="s">
        <v>7</v>
      </c>
      <c r="B1182" s="587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58" t="s">
        <v>238</v>
      </c>
      <c r="B1191" s="558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49" t="s">
        <v>3</v>
      </c>
      <c r="B1192" s="449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49" t="s">
        <v>5</v>
      </c>
      <c r="B1193" s="449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87" t="s">
        <v>7</v>
      </c>
      <c r="B1194" s="587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58" t="s">
        <v>239</v>
      </c>
      <c r="B1195" s="558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49" t="s">
        <v>3</v>
      </c>
      <c r="B1196" s="449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49" t="s">
        <v>5</v>
      </c>
      <c r="B1197" s="449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87" t="s">
        <v>7</v>
      </c>
      <c r="B1198" s="587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49" t="s">
        <v>241</v>
      </c>
      <c r="B1240" s="449"/>
      <c r="C1240" s="449"/>
      <c r="D1240" s="449"/>
      <c r="E1240" s="449"/>
      <c r="F1240" s="449"/>
      <c r="G1240" s="449"/>
      <c r="H1240" s="449"/>
      <c r="I1240" s="449"/>
      <c r="J1240" s="449"/>
      <c r="K1240" s="449"/>
      <c r="L1240" s="449"/>
      <c r="M1240" s="449"/>
      <c r="N1240" s="449"/>
      <c r="O1240" s="449"/>
      <c r="P1240" s="449"/>
      <c r="Q1240" s="449"/>
      <c r="R1240" s="449"/>
      <c r="S1240" s="449"/>
      <c r="T1240" s="449"/>
      <c r="U1240" s="449"/>
    </row>
    <row r="1241" spans="1:21" ht="12.3" customHeight="1">
      <c r="A1241" s="450" t="s">
        <v>69</v>
      </c>
      <c r="B1241" s="451"/>
      <c r="C1241" s="454" t="s">
        <v>14</v>
      </c>
      <c r="D1241" s="455"/>
      <c r="E1241" s="455"/>
      <c r="F1241" s="455"/>
      <c r="G1241" s="455"/>
      <c r="H1241" s="455"/>
      <c r="I1241" s="455"/>
      <c r="J1241" s="455"/>
      <c r="K1241" s="455"/>
      <c r="L1241" s="455"/>
      <c r="M1241" s="455"/>
      <c r="N1241" s="455"/>
      <c r="O1241" s="455"/>
      <c r="P1241" s="455"/>
      <c r="Q1241" s="455"/>
      <c r="R1241" s="455"/>
      <c r="S1241" s="455"/>
      <c r="T1241" s="455"/>
    </row>
    <row r="1242" spans="1:21" ht="9" customHeight="1">
      <c r="A1242" s="452"/>
      <c r="B1242" s="453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58" t="s">
        <v>237</v>
      </c>
      <c r="B1243" s="558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49" t="s">
        <v>3</v>
      </c>
      <c r="B1244" s="449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49" t="s">
        <v>5</v>
      </c>
      <c r="B1245" s="449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87" t="s">
        <v>7</v>
      </c>
      <c r="B1246" s="587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58" t="s">
        <v>238</v>
      </c>
      <c r="B1255" s="558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49" t="s">
        <v>3</v>
      </c>
      <c r="B1256" s="449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49" t="s">
        <v>5</v>
      </c>
      <c r="B1257" s="449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87" t="s">
        <v>7</v>
      </c>
      <c r="B1258" s="587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58" t="s">
        <v>239</v>
      </c>
      <c r="B1259" s="558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49" t="s">
        <v>3</v>
      </c>
      <c r="B1260" s="449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49" t="s">
        <v>5</v>
      </c>
      <c r="B1261" s="449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87" t="s">
        <v>7</v>
      </c>
      <c r="B1262" s="587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49" t="s">
        <v>242</v>
      </c>
      <c r="B1304" s="449"/>
      <c r="C1304" s="449"/>
      <c r="D1304" s="449"/>
      <c r="E1304" s="449"/>
      <c r="F1304" s="449"/>
      <c r="G1304" s="449"/>
      <c r="H1304" s="449"/>
      <c r="I1304" s="449"/>
      <c r="J1304" s="449"/>
      <c r="K1304" s="449"/>
      <c r="L1304" s="449"/>
      <c r="M1304" s="449"/>
      <c r="N1304" s="449"/>
      <c r="O1304" s="449"/>
      <c r="P1304" s="449"/>
      <c r="Q1304" s="449"/>
      <c r="R1304" s="449"/>
      <c r="S1304" s="449"/>
      <c r="T1304" s="449"/>
      <c r="U1304" s="449"/>
    </row>
    <row r="1305" spans="1:21" ht="12.3" customHeight="1">
      <c r="A1305" s="450" t="s">
        <v>69</v>
      </c>
      <c r="B1305" s="451"/>
      <c r="C1305" s="454" t="s">
        <v>14</v>
      </c>
      <c r="D1305" s="455"/>
      <c r="E1305" s="455"/>
      <c r="F1305" s="455"/>
      <c r="G1305" s="455"/>
      <c r="H1305" s="455"/>
      <c r="I1305" s="455"/>
      <c r="J1305" s="455"/>
      <c r="K1305" s="455"/>
      <c r="L1305" s="455"/>
      <c r="M1305" s="455"/>
      <c r="N1305" s="455"/>
      <c r="O1305" s="455"/>
      <c r="P1305" s="455"/>
      <c r="Q1305" s="455"/>
      <c r="R1305" s="455"/>
      <c r="S1305" s="455"/>
      <c r="T1305" s="455"/>
    </row>
    <row r="1306" spans="1:21" ht="9" customHeight="1">
      <c r="A1306" s="452"/>
      <c r="B1306" s="453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58" t="s">
        <v>237</v>
      </c>
      <c r="B1307" s="558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49" t="s">
        <v>3</v>
      </c>
      <c r="B1308" s="449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49" t="s">
        <v>5</v>
      </c>
      <c r="B1309" s="449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87" t="s">
        <v>7</v>
      </c>
      <c r="B1310" s="587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58" t="s">
        <v>238</v>
      </c>
      <c r="B1319" s="558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49" t="s">
        <v>3</v>
      </c>
      <c r="B1320" s="449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49" t="s">
        <v>5</v>
      </c>
      <c r="B1321" s="449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87" t="s">
        <v>7</v>
      </c>
      <c r="B1322" s="587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58" t="s">
        <v>239</v>
      </c>
      <c r="B1323" s="558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49" t="s">
        <v>3</v>
      </c>
      <c r="B1324" s="449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49" t="s">
        <v>5</v>
      </c>
      <c r="B1325" s="449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87" t="s">
        <v>7</v>
      </c>
      <c r="B1326" s="587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49" t="s">
        <v>243</v>
      </c>
      <c r="B1368" s="449"/>
      <c r="C1368" s="449"/>
      <c r="D1368" s="449"/>
      <c r="E1368" s="449"/>
      <c r="F1368" s="449"/>
      <c r="G1368" s="449"/>
      <c r="H1368" s="449"/>
      <c r="I1368" s="449"/>
      <c r="J1368" s="449"/>
      <c r="K1368" s="449"/>
    </row>
    <row r="1369" spans="1:20" ht="12.75" customHeight="1">
      <c r="A1369" s="450" t="s">
        <v>11</v>
      </c>
      <c r="B1369" s="450" t="s">
        <v>12</v>
      </c>
      <c r="C1369" s="450"/>
      <c r="D1369" s="470" t="s">
        <v>13</v>
      </c>
      <c r="E1369" s="454" t="s">
        <v>14</v>
      </c>
      <c r="F1369" s="455"/>
      <c r="G1369" s="455"/>
      <c r="H1369" s="455"/>
      <c r="I1369" s="455"/>
      <c r="J1369" s="455"/>
    </row>
    <row r="1370" spans="1:20" ht="12" customHeight="1">
      <c r="A1370" s="452"/>
      <c r="B1370" s="452"/>
      <c r="C1370" s="452"/>
      <c r="D1370" s="471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68">
        <v>1800</v>
      </c>
      <c r="C1371" s="468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65">
        <v>1500</v>
      </c>
      <c r="C1372" s="465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65">
        <v>1200</v>
      </c>
      <c r="C1373" s="465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67">
        <v>1000</v>
      </c>
      <c r="C1374" s="467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68">
        <v>1800</v>
      </c>
      <c r="C1375" s="468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65">
        <v>1500</v>
      </c>
      <c r="C1376" s="465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65">
        <v>1200</v>
      </c>
      <c r="C1377" s="465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67">
        <v>1000</v>
      </c>
      <c r="C1378" s="467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68">
        <v>1800</v>
      </c>
      <c r="C1379" s="468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65">
        <v>1500</v>
      </c>
      <c r="C1380" s="465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65">
        <v>1200</v>
      </c>
      <c r="C1381" s="465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67">
        <v>1000</v>
      </c>
      <c r="C1382" s="467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68">
        <v>1800</v>
      </c>
      <c r="C1383" s="468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65">
        <v>1500</v>
      </c>
      <c r="C1384" s="465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65">
        <v>1200</v>
      </c>
      <c r="C1385" s="465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67">
        <v>1000</v>
      </c>
      <c r="C1386" s="467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68">
        <v>1800</v>
      </c>
      <c r="C1387" s="468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65">
        <v>1500</v>
      </c>
      <c r="C1388" s="465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65">
        <v>1200</v>
      </c>
      <c r="C1389" s="465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67">
        <v>1000</v>
      </c>
      <c r="C1390" s="467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68">
        <v>1800</v>
      </c>
      <c r="C1391" s="468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65">
        <v>1500</v>
      </c>
      <c r="C1392" s="465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65">
        <v>1200</v>
      </c>
      <c r="C1393" s="465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67">
        <v>1000</v>
      </c>
      <c r="C1394" s="467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68">
        <v>1800</v>
      </c>
      <c r="C1395" s="468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65">
        <v>1500</v>
      </c>
      <c r="C1396" s="465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65">
        <v>1200</v>
      </c>
      <c r="C1397" s="465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67">
        <v>1000</v>
      </c>
      <c r="C1398" s="467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68">
        <v>1800</v>
      </c>
      <c r="C1399" s="468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65">
        <v>1500</v>
      </c>
      <c r="C1400" s="465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65">
        <v>1200</v>
      </c>
      <c r="C1401" s="465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67">
        <v>1000</v>
      </c>
      <c r="C1402" s="467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68">
        <v>1800</v>
      </c>
      <c r="C1403" s="468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65">
        <v>1500</v>
      </c>
      <c r="C1404" s="465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65">
        <v>1200</v>
      </c>
      <c r="C1405" s="465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67">
        <v>1000</v>
      </c>
      <c r="C1406" s="467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68">
        <v>1800</v>
      </c>
      <c r="C1407" s="468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65">
        <v>1500</v>
      </c>
      <c r="C1408" s="465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65">
        <v>1200</v>
      </c>
      <c r="C1409" s="465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67">
        <v>1000</v>
      </c>
      <c r="C1410" s="467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68">
        <v>1800</v>
      </c>
      <c r="C1411" s="468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65">
        <v>1500</v>
      </c>
      <c r="C1412" s="465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65">
        <v>1200</v>
      </c>
      <c r="C1413" s="465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67">
        <v>1000</v>
      </c>
      <c r="C1414" s="467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68">
        <v>1800</v>
      </c>
      <c r="C1415" s="468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65">
        <v>1500</v>
      </c>
      <c r="C1416" s="465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65">
        <v>1200</v>
      </c>
      <c r="C1417" s="465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67">
        <v>1000</v>
      </c>
      <c r="C1418" s="467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68">
        <v>1800</v>
      </c>
      <c r="C1419" s="468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65">
        <v>1500</v>
      </c>
      <c r="C1420" s="465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65">
        <v>1200</v>
      </c>
      <c r="C1421" s="465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67">
        <v>1000</v>
      </c>
      <c r="C1422" s="467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68">
        <v>1800</v>
      </c>
      <c r="C1423" s="468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65">
        <v>1500</v>
      </c>
      <c r="C1424" s="465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65">
        <v>1200</v>
      </c>
      <c r="C1425" s="465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65">
        <v>1000</v>
      </c>
      <c r="C1426" s="465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49" t="s">
        <v>243</v>
      </c>
      <c r="B1428" s="449"/>
      <c r="C1428" s="449"/>
      <c r="D1428" s="449"/>
      <c r="E1428" s="449"/>
      <c r="F1428" s="449"/>
      <c r="G1428" s="449"/>
      <c r="H1428" s="449"/>
      <c r="I1428" s="449"/>
      <c r="J1428" s="449"/>
      <c r="K1428" s="449"/>
      <c r="L1428" s="449"/>
      <c r="M1428" s="449"/>
      <c r="N1428" s="449"/>
      <c r="O1428" s="449"/>
      <c r="P1428" s="449"/>
      <c r="Q1428" s="449"/>
      <c r="R1428" s="449"/>
      <c r="S1428" s="449"/>
      <c r="T1428" s="449"/>
      <c r="U1428" s="449"/>
    </row>
    <row r="1429" spans="1:21" ht="12.75" customHeight="1">
      <c r="A1429" s="450" t="s">
        <v>11</v>
      </c>
      <c r="B1429" s="450" t="s">
        <v>12</v>
      </c>
      <c r="C1429" s="450"/>
      <c r="D1429" s="451" t="s">
        <v>13</v>
      </c>
      <c r="E1429" s="454" t="s">
        <v>14</v>
      </c>
      <c r="F1429" s="455"/>
      <c r="G1429" s="455"/>
      <c r="H1429" s="455"/>
      <c r="I1429" s="455"/>
      <c r="J1429" s="455"/>
      <c r="K1429" s="455"/>
      <c r="L1429" s="455"/>
      <c r="M1429" s="455"/>
      <c r="N1429" s="455"/>
      <c r="O1429" s="455"/>
      <c r="P1429" s="455"/>
      <c r="Q1429" s="455"/>
      <c r="R1429" s="455"/>
      <c r="S1429" s="455"/>
      <c r="T1429" s="455"/>
    </row>
    <row r="1430" spans="1:21" ht="12" customHeight="1">
      <c r="A1430" s="452"/>
      <c r="B1430" s="452"/>
      <c r="C1430" s="452"/>
      <c r="D1430" s="453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46">
        <v>1800</v>
      </c>
      <c r="C1431" s="546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49">
        <v>1500</v>
      </c>
      <c r="C1432" s="549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49">
        <v>1200</v>
      </c>
      <c r="C1433" s="549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56">
        <v>1000</v>
      </c>
      <c r="C1434" s="556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46">
        <v>1800</v>
      </c>
      <c r="C1435" s="546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49">
        <v>1500</v>
      </c>
      <c r="C1436" s="549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49">
        <v>1200</v>
      </c>
      <c r="C1437" s="549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56">
        <v>1000</v>
      </c>
      <c r="C1438" s="556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46">
        <v>1800</v>
      </c>
      <c r="C1439" s="546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49">
        <v>1500</v>
      </c>
      <c r="C1440" s="549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49">
        <v>1200</v>
      </c>
      <c r="C1441" s="549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56">
        <v>1000</v>
      </c>
      <c r="C1442" s="556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46">
        <v>1800</v>
      </c>
      <c r="C1443" s="546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49">
        <v>1500</v>
      </c>
      <c r="C1444" s="549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49">
        <v>1200</v>
      </c>
      <c r="C1445" s="549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56">
        <v>1000</v>
      </c>
      <c r="C1446" s="556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46">
        <v>1800</v>
      </c>
      <c r="C1447" s="546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49">
        <v>1500</v>
      </c>
      <c r="C1448" s="549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49">
        <v>1200</v>
      </c>
      <c r="C1449" s="549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56">
        <v>1000</v>
      </c>
      <c r="C1450" s="556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46">
        <v>1800</v>
      </c>
      <c r="C1451" s="546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49">
        <v>1500</v>
      </c>
      <c r="C1452" s="549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49">
        <v>1200</v>
      </c>
      <c r="C1453" s="549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56">
        <v>1000</v>
      </c>
      <c r="C1454" s="556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46">
        <v>1800</v>
      </c>
      <c r="C1455" s="546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49">
        <v>1500</v>
      </c>
      <c r="C1456" s="549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49">
        <v>1200</v>
      </c>
      <c r="C1457" s="549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56">
        <v>1000</v>
      </c>
      <c r="C1458" s="556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46">
        <v>1800</v>
      </c>
      <c r="C1459" s="546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49">
        <v>1500</v>
      </c>
      <c r="C1460" s="549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49">
        <v>1200</v>
      </c>
      <c r="C1461" s="549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56">
        <v>1000</v>
      </c>
      <c r="C1462" s="556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46">
        <v>1800</v>
      </c>
      <c r="C1463" s="546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49">
        <v>1500</v>
      </c>
      <c r="C1464" s="549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49">
        <v>1200</v>
      </c>
      <c r="C1465" s="549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56">
        <v>1000</v>
      </c>
      <c r="C1466" s="556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46">
        <v>1800</v>
      </c>
      <c r="C1467" s="546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49">
        <v>1500</v>
      </c>
      <c r="C1468" s="549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49">
        <v>1200</v>
      </c>
      <c r="C1469" s="549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56">
        <v>1000</v>
      </c>
      <c r="C1470" s="556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46">
        <v>1800</v>
      </c>
      <c r="C1471" s="546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49">
        <v>1500</v>
      </c>
      <c r="C1472" s="549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49">
        <v>1200</v>
      </c>
      <c r="C1473" s="549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56">
        <v>1000</v>
      </c>
      <c r="C1474" s="556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46">
        <v>1800</v>
      </c>
      <c r="C1475" s="546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49">
        <v>1500</v>
      </c>
      <c r="C1476" s="549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49">
        <v>1200</v>
      </c>
      <c r="C1477" s="549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56">
        <v>1000</v>
      </c>
      <c r="C1478" s="556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46">
        <v>1800</v>
      </c>
      <c r="C1479" s="546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49">
        <v>1500</v>
      </c>
      <c r="C1480" s="549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49">
        <v>1200</v>
      </c>
      <c r="C1481" s="549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56">
        <v>1000</v>
      </c>
      <c r="C1482" s="556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46">
        <v>1800</v>
      </c>
      <c r="C1483" s="546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49">
        <v>1500</v>
      </c>
      <c r="C1484" s="549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49">
        <v>1200</v>
      </c>
      <c r="C1485" s="549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49">
        <v>1000</v>
      </c>
      <c r="C1486" s="549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49" t="s">
        <v>244</v>
      </c>
      <c r="B1488" s="449"/>
      <c r="C1488" s="449"/>
      <c r="D1488" s="449"/>
      <c r="E1488" s="449"/>
      <c r="F1488" s="449"/>
      <c r="G1488" s="449"/>
      <c r="H1488" s="449"/>
      <c r="I1488" s="449"/>
      <c r="J1488" s="449"/>
      <c r="K1488" s="449"/>
      <c r="L1488" s="449"/>
      <c r="M1488" s="449"/>
      <c r="N1488" s="449"/>
    </row>
    <row r="1489" spans="1:12" ht="11.25" customHeight="1">
      <c r="A1489" s="451" t="s">
        <v>69</v>
      </c>
      <c r="B1489" s="454" t="s">
        <v>14</v>
      </c>
      <c r="C1489" s="455"/>
      <c r="D1489" s="455"/>
      <c r="E1489" s="455"/>
      <c r="F1489" s="455"/>
      <c r="G1489" s="455"/>
      <c r="H1489" s="455"/>
      <c r="I1489" s="455"/>
      <c r="J1489" s="455"/>
      <c r="K1489" s="455"/>
      <c r="L1489" s="455"/>
    </row>
    <row r="1490" spans="1:12" ht="11.25" customHeight="1">
      <c r="A1490" s="453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56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57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57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57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57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57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57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57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57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57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57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57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57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61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62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63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63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63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63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63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63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63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63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63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63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64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56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57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57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57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57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57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57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57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57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57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57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57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61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58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59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59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59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59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59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59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59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59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59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59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59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59"/>
    </row>
    <row r="1543" spans="1:20" ht="33.75" customHeight="1">
      <c r="A1543" s="449" t="s">
        <v>244</v>
      </c>
      <c r="B1543" s="449"/>
      <c r="C1543" s="449"/>
      <c r="D1543" s="449"/>
      <c r="E1543" s="449"/>
      <c r="F1543" s="449"/>
      <c r="G1543" s="449"/>
      <c r="H1543" s="449"/>
      <c r="I1543" s="449"/>
      <c r="J1543" s="449"/>
      <c r="K1543" s="449"/>
      <c r="L1543" s="449"/>
      <c r="M1543" s="449"/>
      <c r="N1543" s="449"/>
      <c r="O1543" s="449"/>
      <c r="P1543" s="449"/>
      <c r="Q1543" s="449"/>
      <c r="R1543" s="449"/>
      <c r="S1543" s="449"/>
      <c r="T1543" s="449"/>
    </row>
    <row r="1544" spans="1:20" ht="11.25" customHeight="1">
      <c r="A1544" s="451" t="s">
        <v>69</v>
      </c>
      <c r="B1544" s="454" t="s">
        <v>14</v>
      </c>
      <c r="C1544" s="455"/>
      <c r="D1544" s="455"/>
      <c r="E1544" s="455"/>
      <c r="F1544" s="455"/>
      <c r="G1544" s="455"/>
      <c r="H1544" s="455"/>
      <c r="I1544" s="455"/>
      <c r="J1544" s="455"/>
      <c r="K1544" s="455"/>
      <c r="L1544" s="455"/>
      <c r="M1544" s="455"/>
      <c r="N1544" s="455"/>
      <c r="O1544" s="455"/>
      <c r="P1544" s="455"/>
      <c r="Q1544" s="455"/>
      <c r="R1544" s="455"/>
    </row>
    <row r="1545" spans="1:20" ht="11.25" customHeight="1">
      <c r="A1545" s="453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56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57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57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57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57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57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57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57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57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57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57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57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57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61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62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63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63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63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63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63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63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63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63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63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63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64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56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57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57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57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57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57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57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57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57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57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57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57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61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58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59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59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59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59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59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59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59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59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59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59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59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59"/>
    </row>
    <row r="1599" spans="1:20" ht="40.799999999999997" customHeight="1">
      <c r="A1599" s="449" t="s">
        <v>246</v>
      </c>
      <c r="B1599" s="449"/>
      <c r="C1599" s="449"/>
      <c r="D1599" s="449"/>
      <c r="E1599" s="449"/>
      <c r="F1599" s="449"/>
      <c r="G1599" s="449"/>
      <c r="H1599" s="449"/>
      <c r="I1599" s="449"/>
      <c r="J1599" s="449"/>
      <c r="K1599" s="449"/>
      <c r="L1599" s="449"/>
      <c r="M1599" s="449"/>
      <c r="N1599" s="449"/>
      <c r="O1599" s="449"/>
      <c r="P1599" s="449"/>
      <c r="Q1599" s="449"/>
      <c r="R1599" s="449"/>
      <c r="S1599" s="449"/>
      <c r="T1599" s="449"/>
    </row>
    <row r="1600" spans="1:20" ht="12.3" customHeight="1">
      <c r="A1600" s="450" t="s">
        <v>69</v>
      </c>
      <c r="B1600" s="451"/>
      <c r="C1600" s="454" t="s">
        <v>14</v>
      </c>
      <c r="D1600" s="455"/>
      <c r="E1600" s="455"/>
      <c r="F1600" s="455"/>
      <c r="G1600" s="455"/>
      <c r="H1600" s="455"/>
      <c r="I1600" s="455"/>
      <c r="J1600" s="455"/>
      <c r="K1600" s="455"/>
      <c r="L1600" s="455"/>
      <c r="M1600" s="455"/>
      <c r="N1600" s="455"/>
      <c r="O1600" s="455"/>
      <c r="P1600" s="455"/>
      <c r="Q1600" s="455"/>
      <c r="R1600" s="455"/>
    </row>
    <row r="1601" spans="1:20" ht="9" customHeight="1">
      <c r="A1601" s="452"/>
      <c r="B1601" s="453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77" t="s">
        <v>247</v>
      </c>
      <c r="B1616" s="477"/>
      <c r="C1616" s="477"/>
      <c r="D1616" s="477"/>
      <c r="E1616" s="477"/>
      <c r="F1616" s="477"/>
      <c r="G1616" s="477"/>
      <c r="H1616" s="477"/>
      <c r="I1616" s="477"/>
      <c r="J1616" s="477"/>
      <c r="K1616" s="477"/>
      <c r="L1616" s="477"/>
      <c r="M1616" s="477"/>
      <c r="N1616" s="477"/>
      <c r="O1616" s="477"/>
      <c r="P1616" s="477"/>
      <c r="Q1616" s="477"/>
      <c r="R1616" s="477"/>
      <c r="S1616" s="477"/>
      <c r="T1616" s="477"/>
    </row>
    <row r="1617" spans="1:18" ht="12.3" customHeight="1">
      <c r="A1617" s="450" t="s">
        <v>69</v>
      </c>
      <c r="B1617" s="451"/>
      <c r="C1617" s="454" t="s">
        <v>14</v>
      </c>
      <c r="D1617" s="455"/>
      <c r="E1617" s="455"/>
      <c r="F1617" s="455"/>
      <c r="G1617" s="455"/>
      <c r="H1617" s="455"/>
      <c r="I1617" s="455"/>
      <c r="J1617" s="455"/>
      <c r="K1617" s="455"/>
      <c r="L1617" s="455"/>
      <c r="M1617" s="455"/>
      <c r="N1617" s="455"/>
      <c r="O1617" s="455"/>
      <c r="P1617" s="455"/>
      <c r="Q1617" s="455"/>
      <c r="R1617" s="455"/>
    </row>
    <row r="1618" spans="1:18" ht="9" customHeight="1">
      <c r="A1618" s="452"/>
      <c r="B1618" s="453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49" t="s">
        <v>248</v>
      </c>
      <c r="B1634" s="449"/>
      <c r="C1634" s="449"/>
      <c r="D1634" s="449"/>
      <c r="E1634" s="449"/>
      <c r="F1634" s="449"/>
      <c r="G1634" s="449"/>
      <c r="H1634" s="449"/>
      <c r="I1634" s="449"/>
      <c r="J1634" s="449"/>
      <c r="K1634" s="449"/>
      <c r="L1634" s="449"/>
      <c r="M1634" s="449"/>
      <c r="N1634" s="449"/>
      <c r="O1634" s="449"/>
      <c r="P1634" s="449"/>
      <c r="Q1634" s="449"/>
      <c r="R1634" s="449"/>
      <c r="S1634" s="449"/>
      <c r="T1634" s="449"/>
    </row>
    <row r="1635" spans="1:20" ht="12.3" customHeight="1">
      <c r="A1635" s="450" t="s">
        <v>69</v>
      </c>
      <c r="B1635" s="451"/>
      <c r="C1635" s="454" t="s">
        <v>14</v>
      </c>
      <c r="D1635" s="455"/>
      <c r="E1635" s="455"/>
      <c r="F1635" s="455"/>
      <c r="G1635" s="455"/>
      <c r="H1635" s="455"/>
      <c r="I1635" s="455"/>
      <c r="J1635" s="455"/>
      <c r="K1635" s="455"/>
      <c r="L1635" s="455"/>
      <c r="M1635" s="455"/>
      <c r="N1635" s="455"/>
      <c r="O1635" s="455"/>
      <c r="P1635" s="455"/>
      <c r="Q1635" s="455"/>
      <c r="R1635" s="455"/>
    </row>
    <row r="1636" spans="1:20" ht="9" customHeight="1">
      <c r="A1636" s="452"/>
      <c r="B1636" s="453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77" t="s">
        <v>249</v>
      </c>
      <c r="B1651" s="477"/>
      <c r="C1651" s="477"/>
      <c r="D1651" s="477"/>
      <c r="E1651" s="477"/>
      <c r="F1651" s="477"/>
      <c r="G1651" s="477"/>
      <c r="H1651" s="477"/>
      <c r="I1651" s="477"/>
      <c r="J1651" s="477"/>
      <c r="K1651" s="477"/>
      <c r="L1651" s="477"/>
      <c r="M1651" s="477"/>
      <c r="N1651" s="477"/>
      <c r="O1651" s="477"/>
      <c r="P1651" s="477"/>
      <c r="Q1651" s="477"/>
      <c r="R1651" s="477"/>
      <c r="S1651" s="477"/>
      <c r="T1651" s="477"/>
    </row>
    <row r="1652" spans="1:20" ht="12.3" customHeight="1">
      <c r="A1652" s="450" t="s">
        <v>69</v>
      </c>
      <c r="B1652" s="451"/>
      <c r="C1652" s="454" t="s">
        <v>14</v>
      </c>
      <c r="D1652" s="455"/>
      <c r="E1652" s="455"/>
      <c r="F1652" s="455"/>
      <c r="G1652" s="455"/>
      <c r="H1652" s="455"/>
      <c r="I1652" s="455"/>
      <c r="J1652" s="455"/>
      <c r="K1652" s="455"/>
      <c r="L1652" s="455"/>
      <c r="M1652" s="455"/>
      <c r="N1652" s="455"/>
      <c r="O1652" s="455"/>
      <c r="P1652" s="455"/>
      <c r="Q1652" s="455"/>
      <c r="R1652" s="455"/>
    </row>
    <row r="1653" spans="1:20" ht="9" customHeight="1">
      <c r="A1653" s="452"/>
      <c r="B1653" s="453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49" t="s">
        <v>250</v>
      </c>
      <c r="B1669" s="449"/>
      <c r="C1669" s="449"/>
      <c r="D1669" s="449"/>
      <c r="E1669" s="449"/>
      <c r="F1669" s="449"/>
      <c r="G1669" s="449"/>
      <c r="H1669" s="449"/>
      <c r="I1669" s="449"/>
      <c r="J1669" s="449"/>
      <c r="K1669" s="449"/>
      <c r="L1669" s="449"/>
      <c r="M1669" s="449"/>
      <c r="N1669" s="449"/>
      <c r="O1669" s="449"/>
      <c r="P1669" s="449"/>
      <c r="Q1669" s="449"/>
      <c r="R1669" s="449"/>
      <c r="S1669" s="449"/>
      <c r="T1669" s="449"/>
      <c r="U1669" s="449"/>
    </row>
    <row r="1670" spans="1:21" ht="12.75" customHeight="1">
      <c r="A1670" s="450" t="s">
        <v>11</v>
      </c>
      <c r="B1670" s="450"/>
      <c r="C1670" s="450" t="s">
        <v>12</v>
      </c>
      <c r="D1670" s="470" t="s">
        <v>13</v>
      </c>
      <c r="E1670" s="454" t="s">
        <v>14</v>
      </c>
      <c r="F1670" s="455"/>
      <c r="G1670" s="455"/>
      <c r="H1670" s="455"/>
      <c r="I1670" s="455"/>
      <c r="J1670" s="455"/>
      <c r="K1670" s="455"/>
      <c r="L1670" s="455"/>
      <c r="M1670" s="455"/>
      <c r="N1670" s="455"/>
      <c r="O1670" s="455"/>
      <c r="P1670" s="455"/>
      <c r="Q1670" s="455"/>
      <c r="R1670" s="455"/>
      <c r="S1670" s="455"/>
    </row>
    <row r="1671" spans="1:21" ht="12" customHeight="1">
      <c r="A1671" s="452"/>
      <c r="B1671" s="452"/>
      <c r="C1671" s="452"/>
      <c r="D1671" s="471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84">
        <v>5</v>
      </c>
      <c r="B1672" s="484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81"/>
      <c r="B1673" s="481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81"/>
      <c r="B1674" s="481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82"/>
      <c r="B1675" s="482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83">
        <v>5.6</v>
      </c>
      <c r="B1676" s="483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81"/>
      <c r="B1677" s="481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81"/>
      <c r="B1678" s="481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82"/>
      <c r="B1679" s="482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83">
        <v>6.3</v>
      </c>
      <c r="B1680" s="483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81"/>
      <c r="B1681" s="481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81"/>
      <c r="B1682" s="481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82"/>
      <c r="B1683" s="482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83">
        <v>7.1</v>
      </c>
      <c r="B1684" s="483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81"/>
      <c r="B1685" s="481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81"/>
      <c r="B1686" s="481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82"/>
      <c r="B1687" s="482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84">
        <v>8</v>
      </c>
      <c r="B1688" s="484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81"/>
      <c r="B1689" s="481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81"/>
      <c r="B1690" s="481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82"/>
      <c r="B1691" s="482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84">
        <v>9</v>
      </c>
      <c r="B1692" s="484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47" t="s">
        <v>305</v>
      </c>
      <c r="N1692" s="547" t="s">
        <v>306</v>
      </c>
      <c r="O1692" s="547" t="s">
        <v>307</v>
      </c>
      <c r="P1692" s="547" t="s">
        <v>308</v>
      </c>
      <c r="Q1692" s="547" t="s">
        <v>309</v>
      </c>
      <c r="R1692" s="547" t="s">
        <v>52</v>
      </c>
      <c r="S1692" s="536" t="s">
        <v>102</v>
      </c>
    </row>
    <row r="1693" spans="1:19" ht="2.5499999999999998" customHeight="1">
      <c r="A1693" s="481"/>
      <c r="B1693" s="481"/>
      <c r="C1693" s="549">
        <v>1500</v>
      </c>
      <c r="D1693" s="557">
        <v>167</v>
      </c>
      <c r="E1693" s="551">
        <v>108</v>
      </c>
      <c r="F1693" s="553">
        <v>164</v>
      </c>
      <c r="G1693" s="553">
        <v>209</v>
      </c>
      <c r="H1693" s="553">
        <v>332</v>
      </c>
      <c r="I1693" s="553">
        <v>416</v>
      </c>
      <c r="J1693" s="553">
        <v>522</v>
      </c>
      <c r="K1693" s="553">
        <v>664</v>
      </c>
      <c r="L1693" s="553">
        <v>944</v>
      </c>
      <c r="M1693" s="548"/>
      <c r="N1693" s="548"/>
      <c r="O1693" s="548"/>
      <c r="P1693" s="548"/>
      <c r="Q1693" s="548"/>
      <c r="R1693" s="548"/>
      <c r="S1693" s="583"/>
    </row>
    <row r="1694" spans="1:19" ht="9" customHeight="1">
      <c r="A1694" s="481"/>
      <c r="B1694" s="481"/>
      <c r="C1694" s="549"/>
      <c r="D1694" s="557"/>
      <c r="E1694" s="551"/>
      <c r="F1694" s="553"/>
      <c r="G1694" s="553"/>
      <c r="H1694" s="553"/>
      <c r="I1694" s="553"/>
      <c r="J1694" s="553"/>
      <c r="K1694" s="553"/>
      <c r="L1694" s="553"/>
      <c r="M1694" s="41">
        <v>1140</v>
      </c>
      <c r="N1694" s="41">
        <v>1418</v>
      </c>
      <c r="O1694" s="574">
        <v>1654</v>
      </c>
      <c r="P1694" s="574">
        <v>2308</v>
      </c>
      <c r="Q1694" s="574">
        <v>2588</v>
      </c>
      <c r="R1694" s="548" t="s">
        <v>310</v>
      </c>
      <c r="S1694" s="583" t="s">
        <v>311</v>
      </c>
    </row>
    <row r="1695" spans="1:19" ht="2.5499999999999998" customHeight="1">
      <c r="A1695" s="481"/>
      <c r="B1695" s="481"/>
      <c r="C1695" s="549">
        <v>1200</v>
      </c>
      <c r="D1695" s="557">
        <v>133</v>
      </c>
      <c r="E1695" s="551">
        <v>86</v>
      </c>
      <c r="F1695" s="553">
        <v>130</v>
      </c>
      <c r="G1695" s="553">
        <v>167</v>
      </c>
      <c r="H1695" s="553">
        <v>264</v>
      </c>
      <c r="I1695" s="553">
        <v>331</v>
      </c>
      <c r="J1695" s="553">
        <v>416</v>
      </c>
      <c r="K1695" s="553">
        <v>529</v>
      </c>
      <c r="L1695" s="553">
        <v>752</v>
      </c>
      <c r="M1695" s="553">
        <v>908</v>
      </c>
      <c r="N1695" s="553">
        <v>1129</v>
      </c>
      <c r="O1695" s="574"/>
      <c r="P1695" s="574"/>
      <c r="Q1695" s="574"/>
      <c r="R1695" s="548"/>
      <c r="S1695" s="583"/>
    </row>
    <row r="1696" spans="1:19" ht="9" customHeight="1">
      <c r="A1696" s="481"/>
      <c r="B1696" s="481"/>
      <c r="C1696" s="549"/>
      <c r="D1696" s="557"/>
      <c r="E1696" s="551"/>
      <c r="F1696" s="553"/>
      <c r="G1696" s="553"/>
      <c r="H1696" s="553"/>
      <c r="I1696" s="553"/>
      <c r="J1696" s="553"/>
      <c r="K1696" s="553"/>
      <c r="L1696" s="553"/>
      <c r="M1696" s="553"/>
      <c r="N1696" s="553"/>
      <c r="O1696" s="41">
        <v>1317</v>
      </c>
      <c r="P1696" s="41">
        <v>1838</v>
      </c>
      <c r="Q1696" s="41">
        <v>2061</v>
      </c>
      <c r="R1696" s="17" t="s">
        <v>312</v>
      </c>
      <c r="S1696" s="583" t="s">
        <v>285</v>
      </c>
    </row>
    <row r="1697" spans="1:19" ht="2.5499999999999998" customHeight="1">
      <c r="A1697" s="481"/>
      <c r="B1697" s="481"/>
      <c r="C1697" s="549">
        <v>1000</v>
      </c>
      <c r="D1697" s="557">
        <v>111</v>
      </c>
      <c r="E1697" s="551">
        <v>72</v>
      </c>
      <c r="F1697" s="553">
        <v>109</v>
      </c>
      <c r="G1697" s="553">
        <v>139</v>
      </c>
      <c r="H1697" s="553">
        <v>220</v>
      </c>
      <c r="I1697" s="553">
        <v>276</v>
      </c>
      <c r="J1697" s="553">
        <v>347</v>
      </c>
      <c r="K1697" s="553">
        <v>441</v>
      </c>
      <c r="L1697" s="553">
        <v>627</v>
      </c>
      <c r="M1697" s="553">
        <v>757</v>
      </c>
      <c r="N1697" s="553">
        <v>942</v>
      </c>
      <c r="O1697" s="553">
        <v>1099</v>
      </c>
      <c r="P1697" s="553">
        <v>1534</v>
      </c>
      <c r="Q1697" s="553">
        <v>1720</v>
      </c>
      <c r="R1697" s="553">
        <v>2266</v>
      </c>
      <c r="S1697" s="583"/>
    </row>
    <row r="1698" spans="1:19" ht="9" customHeight="1">
      <c r="A1698" s="482"/>
      <c r="B1698" s="482"/>
      <c r="C1698" s="556"/>
      <c r="D1698" s="584"/>
      <c r="E1698" s="579"/>
      <c r="F1698" s="575"/>
      <c r="G1698" s="575"/>
      <c r="H1698" s="575"/>
      <c r="I1698" s="575"/>
      <c r="J1698" s="575"/>
      <c r="K1698" s="575"/>
      <c r="L1698" s="575"/>
      <c r="M1698" s="575"/>
      <c r="N1698" s="575"/>
      <c r="O1698" s="575"/>
      <c r="P1698" s="575"/>
      <c r="Q1698" s="575"/>
      <c r="R1698" s="575"/>
      <c r="S1698" s="62">
        <v>2673</v>
      </c>
    </row>
    <row r="1699" spans="1:19" ht="9.75" customHeight="1">
      <c r="A1699" s="480">
        <v>10</v>
      </c>
      <c r="B1699" s="480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47" t="s">
        <v>62</v>
      </c>
      <c r="P1699" s="547" t="s">
        <v>316</v>
      </c>
      <c r="Q1699" s="547" t="s">
        <v>317</v>
      </c>
      <c r="R1699" s="547" t="s">
        <v>107</v>
      </c>
      <c r="S1699" s="536" t="s">
        <v>108</v>
      </c>
    </row>
    <row r="1700" spans="1:19" ht="2.5499999999999998" customHeight="1">
      <c r="A1700" s="481"/>
      <c r="B1700" s="481"/>
      <c r="C1700" s="549">
        <v>1500</v>
      </c>
      <c r="D1700" s="557">
        <v>150</v>
      </c>
      <c r="E1700" s="551">
        <v>97</v>
      </c>
      <c r="F1700" s="553">
        <v>147</v>
      </c>
      <c r="G1700" s="553">
        <v>188</v>
      </c>
      <c r="H1700" s="553">
        <v>298</v>
      </c>
      <c r="I1700" s="553">
        <v>373</v>
      </c>
      <c r="J1700" s="553">
        <v>469</v>
      </c>
      <c r="K1700" s="553">
        <v>596</v>
      </c>
      <c r="L1700" s="553">
        <v>848</v>
      </c>
      <c r="M1700" s="553">
        <v>1041</v>
      </c>
      <c r="N1700" s="553">
        <v>1273</v>
      </c>
      <c r="O1700" s="548"/>
      <c r="P1700" s="548"/>
      <c r="Q1700" s="548"/>
      <c r="R1700" s="548"/>
      <c r="S1700" s="583"/>
    </row>
    <row r="1701" spans="1:19" ht="9" customHeight="1">
      <c r="A1701" s="481"/>
      <c r="B1701" s="481"/>
      <c r="C1701" s="549"/>
      <c r="D1701" s="557"/>
      <c r="E1701" s="551"/>
      <c r="F1701" s="553"/>
      <c r="G1701" s="553"/>
      <c r="H1701" s="553"/>
      <c r="I1701" s="553"/>
      <c r="J1701" s="553"/>
      <c r="K1701" s="553"/>
      <c r="L1701" s="553"/>
      <c r="M1701" s="553"/>
      <c r="N1701" s="553"/>
      <c r="O1701" s="41">
        <v>1551</v>
      </c>
      <c r="P1701" s="41">
        <v>2073</v>
      </c>
      <c r="Q1701" s="574">
        <v>2324</v>
      </c>
      <c r="R1701" s="548" t="s">
        <v>302</v>
      </c>
      <c r="S1701" s="583" t="s">
        <v>303</v>
      </c>
    </row>
    <row r="1702" spans="1:19" ht="2.5499999999999998" customHeight="1">
      <c r="A1702" s="481"/>
      <c r="B1702" s="481"/>
      <c r="C1702" s="549">
        <v>1200</v>
      </c>
      <c r="D1702" s="557">
        <v>120</v>
      </c>
      <c r="E1702" s="551">
        <v>77</v>
      </c>
      <c r="F1702" s="553">
        <v>118</v>
      </c>
      <c r="G1702" s="553">
        <v>150</v>
      </c>
      <c r="H1702" s="553">
        <v>238</v>
      </c>
      <c r="I1702" s="553">
        <v>299</v>
      </c>
      <c r="J1702" s="553">
        <v>375</v>
      </c>
      <c r="K1702" s="553">
        <v>477</v>
      </c>
      <c r="L1702" s="553">
        <v>678</v>
      </c>
      <c r="M1702" s="553">
        <v>833</v>
      </c>
      <c r="N1702" s="553">
        <v>1019</v>
      </c>
      <c r="O1702" s="553">
        <v>1241</v>
      </c>
      <c r="P1702" s="553">
        <v>1658</v>
      </c>
      <c r="Q1702" s="574"/>
      <c r="R1702" s="548"/>
      <c r="S1702" s="583"/>
    </row>
    <row r="1703" spans="1:19" ht="9" customHeight="1">
      <c r="A1703" s="481"/>
      <c r="B1703" s="481"/>
      <c r="C1703" s="549"/>
      <c r="D1703" s="557"/>
      <c r="E1703" s="551"/>
      <c r="F1703" s="553"/>
      <c r="G1703" s="553"/>
      <c r="H1703" s="553"/>
      <c r="I1703" s="553"/>
      <c r="J1703" s="553"/>
      <c r="K1703" s="553"/>
      <c r="L1703" s="553"/>
      <c r="M1703" s="553"/>
      <c r="N1703" s="553"/>
      <c r="O1703" s="553"/>
      <c r="P1703" s="553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82"/>
      <c r="B1704" s="482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83">
        <v>11.2</v>
      </c>
      <c r="B1705" s="483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47" t="s">
        <v>323</v>
      </c>
      <c r="P1705" s="547" t="s">
        <v>324</v>
      </c>
      <c r="Q1705" s="547" t="s">
        <v>325</v>
      </c>
      <c r="R1705" s="547" t="s">
        <v>112</v>
      </c>
      <c r="S1705" s="536" t="s">
        <v>113</v>
      </c>
    </row>
    <row r="1706" spans="1:19" ht="2.5499999999999998" customHeight="1">
      <c r="A1706" s="481"/>
      <c r="B1706" s="481"/>
      <c r="C1706" s="549">
        <v>1500</v>
      </c>
      <c r="D1706" s="557">
        <v>134</v>
      </c>
      <c r="E1706" s="551">
        <v>86</v>
      </c>
      <c r="F1706" s="553">
        <v>131</v>
      </c>
      <c r="G1706" s="553">
        <v>168</v>
      </c>
      <c r="H1706" s="553">
        <v>266</v>
      </c>
      <c r="I1706" s="553">
        <v>333</v>
      </c>
      <c r="J1706" s="553">
        <v>419</v>
      </c>
      <c r="K1706" s="553">
        <v>533</v>
      </c>
      <c r="L1706" s="553">
        <v>757</v>
      </c>
      <c r="M1706" s="553">
        <v>930</v>
      </c>
      <c r="N1706" s="553">
        <v>1137</v>
      </c>
      <c r="O1706" s="548"/>
      <c r="P1706" s="548"/>
      <c r="Q1706" s="548"/>
      <c r="R1706" s="548"/>
      <c r="S1706" s="583"/>
    </row>
    <row r="1707" spans="1:19" ht="9" customHeight="1">
      <c r="A1707" s="481"/>
      <c r="B1707" s="481"/>
      <c r="C1707" s="549"/>
      <c r="D1707" s="557"/>
      <c r="E1707" s="551"/>
      <c r="F1707" s="553"/>
      <c r="G1707" s="553"/>
      <c r="H1707" s="553"/>
      <c r="I1707" s="553"/>
      <c r="J1707" s="553"/>
      <c r="K1707" s="553"/>
      <c r="L1707" s="553"/>
      <c r="M1707" s="553"/>
      <c r="N1707" s="553"/>
      <c r="O1707" s="41">
        <v>1422</v>
      </c>
      <c r="P1707" s="41">
        <v>1852</v>
      </c>
      <c r="Q1707" s="41">
        <v>2076</v>
      </c>
      <c r="R1707" s="17" t="s">
        <v>326</v>
      </c>
      <c r="S1707" s="583" t="s">
        <v>327</v>
      </c>
    </row>
    <row r="1708" spans="1:19" ht="2.5499999999999998" customHeight="1">
      <c r="A1708" s="481"/>
      <c r="B1708" s="481"/>
      <c r="C1708" s="549">
        <v>1200</v>
      </c>
      <c r="D1708" s="557">
        <v>107</v>
      </c>
      <c r="E1708" s="551">
        <v>69</v>
      </c>
      <c r="F1708" s="553">
        <v>105</v>
      </c>
      <c r="G1708" s="553">
        <v>134</v>
      </c>
      <c r="H1708" s="553">
        <v>212</v>
      </c>
      <c r="I1708" s="553">
        <v>266</v>
      </c>
      <c r="J1708" s="553">
        <v>335</v>
      </c>
      <c r="K1708" s="553">
        <v>425</v>
      </c>
      <c r="L1708" s="553">
        <v>605</v>
      </c>
      <c r="M1708" s="553">
        <v>742</v>
      </c>
      <c r="N1708" s="553">
        <v>908</v>
      </c>
      <c r="O1708" s="553">
        <v>1136</v>
      </c>
      <c r="P1708" s="553">
        <v>1478</v>
      </c>
      <c r="Q1708" s="553">
        <v>1658</v>
      </c>
      <c r="R1708" s="586" t="s">
        <v>328</v>
      </c>
      <c r="S1708" s="583"/>
    </row>
    <row r="1709" spans="1:19" ht="9" customHeight="1">
      <c r="A1709" s="481"/>
      <c r="B1709" s="481"/>
      <c r="C1709" s="549"/>
      <c r="D1709" s="557"/>
      <c r="E1709" s="551"/>
      <c r="F1709" s="553"/>
      <c r="G1709" s="553"/>
      <c r="H1709" s="553"/>
      <c r="I1709" s="553"/>
      <c r="J1709" s="553"/>
      <c r="K1709" s="553"/>
      <c r="L1709" s="553"/>
      <c r="M1709" s="553"/>
      <c r="N1709" s="553"/>
      <c r="O1709" s="553"/>
      <c r="P1709" s="553"/>
      <c r="Q1709" s="553"/>
      <c r="R1709" s="586"/>
      <c r="S1709" s="8" t="s">
        <v>329</v>
      </c>
    </row>
    <row r="1710" spans="1:19" ht="11.55" customHeight="1">
      <c r="A1710" s="482"/>
      <c r="B1710" s="482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83">
        <v>12.5</v>
      </c>
      <c r="B1711" s="483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47" t="s">
        <v>331</v>
      </c>
      <c r="R1711" s="85" t="s">
        <v>1</v>
      </c>
      <c r="S1711" s="536" t="s">
        <v>123</v>
      </c>
    </row>
    <row r="1712" spans="1:19" ht="2.5499999999999998" customHeight="1">
      <c r="A1712" s="481"/>
      <c r="B1712" s="481"/>
      <c r="C1712" s="549">
        <v>1500</v>
      </c>
      <c r="D1712" s="557">
        <v>120</v>
      </c>
      <c r="E1712" s="585" t="s">
        <v>1</v>
      </c>
      <c r="F1712" s="552" t="s">
        <v>1</v>
      </c>
      <c r="G1712" s="553">
        <v>150</v>
      </c>
      <c r="H1712" s="552" t="s">
        <v>1</v>
      </c>
      <c r="I1712" s="553">
        <v>299</v>
      </c>
      <c r="J1712" s="552" t="s">
        <v>1</v>
      </c>
      <c r="K1712" s="553">
        <v>477</v>
      </c>
      <c r="L1712" s="552" t="s">
        <v>1</v>
      </c>
      <c r="M1712" s="553">
        <v>833</v>
      </c>
      <c r="N1712" s="552" t="s">
        <v>1</v>
      </c>
      <c r="O1712" s="553">
        <v>1274</v>
      </c>
      <c r="P1712" s="552" t="s">
        <v>1</v>
      </c>
      <c r="Q1712" s="548"/>
      <c r="R1712" s="552" t="s">
        <v>1</v>
      </c>
      <c r="S1712" s="583"/>
    </row>
    <row r="1713" spans="1:23" ht="9" customHeight="1">
      <c r="A1713" s="481"/>
      <c r="B1713" s="481"/>
      <c r="C1713" s="549"/>
      <c r="D1713" s="557"/>
      <c r="E1713" s="585"/>
      <c r="F1713" s="552"/>
      <c r="G1713" s="553"/>
      <c r="H1713" s="552"/>
      <c r="I1713" s="553"/>
      <c r="J1713" s="552"/>
      <c r="K1713" s="553"/>
      <c r="L1713" s="552"/>
      <c r="M1713" s="553"/>
      <c r="N1713" s="552"/>
      <c r="O1713" s="553"/>
      <c r="P1713" s="552"/>
      <c r="Q1713" s="41">
        <v>1859</v>
      </c>
      <c r="R1713" s="552"/>
      <c r="S1713" s="8" t="s">
        <v>319</v>
      </c>
    </row>
    <row r="1714" spans="1:23" ht="9.3000000000000007" customHeight="1">
      <c r="A1714" s="481"/>
      <c r="B1714" s="481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82"/>
      <c r="B1715" s="482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80">
        <v>14</v>
      </c>
      <c r="B1716" s="480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81"/>
      <c r="B1717" s="481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81"/>
      <c r="B1718" s="481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81"/>
      <c r="B1719" s="481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49" t="s">
        <v>334</v>
      </c>
      <c r="B1721" s="449"/>
      <c r="C1721" s="449"/>
      <c r="D1721" s="449"/>
      <c r="E1721" s="449"/>
      <c r="F1721" s="449"/>
      <c r="G1721" s="449"/>
      <c r="H1721" s="449"/>
      <c r="I1721" s="449"/>
      <c r="J1721" s="449"/>
      <c r="K1721" s="449"/>
      <c r="L1721" s="449"/>
      <c r="M1721" s="449"/>
      <c r="N1721" s="449"/>
      <c r="O1721" s="449"/>
      <c r="P1721" s="449"/>
      <c r="Q1721" s="449"/>
      <c r="R1721" s="449"/>
      <c r="S1721" s="449"/>
      <c r="T1721" s="449"/>
      <c r="U1721" s="449"/>
      <c r="V1721" s="449"/>
      <c r="W1721" s="449"/>
    </row>
    <row r="1722" spans="1:23" ht="12.3" customHeight="1">
      <c r="A1722" s="478" t="s">
        <v>69</v>
      </c>
      <c r="B1722" s="454" t="s">
        <v>14</v>
      </c>
      <c r="C1722" s="455"/>
      <c r="D1722" s="455"/>
      <c r="E1722" s="455"/>
      <c r="F1722" s="455"/>
      <c r="G1722" s="455"/>
      <c r="H1722" s="455"/>
      <c r="I1722" s="455"/>
      <c r="J1722" s="455"/>
      <c r="K1722" s="455"/>
      <c r="L1722" s="455"/>
      <c r="M1722" s="455"/>
      <c r="N1722" s="455"/>
      <c r="O1722" s="455"/>
      <c r="P1722" s="455"/>
      <c r="Q1722" s="455"/>
      <c r="R1722" s="455"/>
      <c r="S1722" s="455"/>
      <c r="T1722" s="455"/>
      <c r="U1722" s="455"/>
    </row>
    <row r="1723" spans="1:23" ht="12" customHeight="1">
      <c r="A1723" s="479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58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59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59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59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59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59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59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60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62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63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63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63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63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63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63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63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63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63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63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63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63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63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63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63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64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56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57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57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57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57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57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57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57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57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57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57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57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57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57"/>
    </row>
    <row r="1765" spans="1:21" ht="40.799999999999997" customHeight="1">
      <c r="A1765" s="449" t="s">
        <v>338</v>
      </c>
      <c r="B1765" s="449"/>
      <c r="C1765" s="449"/>
      <c r="D1765" s="449"/>
      <c r="E1765" s="449"/>
      <c r="F1765" s="449"/>
      <c r="G1765" s="449"/>
      <c r="H1765" s="449"/>
      <c r="I1765" s="449"/>
      <c r="J1765" s="449"/>
      <c r="K1765" s="449"/>
      <c r="L1765" s="449"/>
      <c r="M1765" s="449"/>
      <c r="N1765" s="449"/>
      <c r="O1765" s="449"/>
      <c r="P1765" s="449"/>
      <c r="Q1765" s="449"/>
      <c r="R1765" s="449"/>
    </row>
    <row r="1766" spans="1:21" ht="12.3" customHeight="1">
      <c r="A1766" s="450" t="s">
        <v>69</v>
      </c>
      <c r="B1766" s="451"/>
      <c r="C1766" s="454" t="s">
        <v>14</v>
      </c>
      <c r="D1766" s="455"/>
      <c r="E1766" s="455"/>
      <c r="F1766" s="455"/>
      <c r="G1766" s="455"/>
      <c r="H1766" s="455"/>
      <c r="I1766" s="455"/>
      <c r="J1766" s="455"/>
      <c r="K1766" s="455"/>
      <c r="L1766" s="455"/>
      <c r="M1766" s="455"/>
      <c r="N1766" s="455"/>
      <c r="O1766" s="455"/>
      <c r="P1766" s="455"/>
      <c r="Q1766" s="455"/>
    </row>
    <row r="1767" spans="1:21" ht="9" customHeight="1">
      <c r="A1767" s="452"/>
      <c r="B1767" s="453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82" t="s">
        <v>339</v>
      </c>
      <c r="B1768" s="582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81" t="s">
        <v>3</v>
      </c>
      <c r="B1769" s="581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62" t="s">
        <v>5</v>
      </c>
      <c r="B1770" s="562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80" t="s">
        <v>7</v>
      </c>
      <c r="B1771" s="580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58" t="s">
        <v>88</v>
      </c>
      <c r="B1772" s="558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81" t="s">
        <v>3</v>
      </c>
      <c r="B1773" s="581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62" t="s">
        <v>5</v>
      </c>
      <c r="B1774" s="562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80" t="s">
        <v>7</v>
      </c>
      <c r="B1775" s="580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58" t="s">
        <v>340</v>
      </c>
      <c r="B1776" s="558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81" t="s">
        <v>3</v>
      </c>
      <c r="B1777" s="581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62" t="s">
        <v>5</v>
      </c>
      <c r="B1778" s="562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80" t="s">
        <v>7</v>
      </c>
      <c r="B1779" s="580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58" t="s">
        <v>341</v>
      </c>
      <c r="B1780" s="558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81" t="s">
        <v>3</v>
      </c>
      <c r="B1781" s="581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62" t="s">
        <v>5</v>
      </c>
      <c r="B1782" s="562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80" t="s">
        <v>7</v>
      </c>
      <c r="B1783" s="580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82" t="s">
        <v>342</v>
      </c>
      <c r="B1784" s="582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81" t="s">
        <v>3</v>
      </c>
      <c r="B1785" s="581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62" t="s">
        <v>5</v>
      </c>
      <c r="B1786" s="562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80" t="s">
        <v>7</v>
      </c>
      <c r="B1787" s="580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82" t="s">
        <v>343</v>
      </c>
      <c r="B1788" s="582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81" t="s">
        <v>3</v>
      </c>
      <c r="B1789" s="581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62" t="s">
        <v>5</v>
      </c>
      <c r="B1790" s="562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80" t="s">
        <v>7</v>
      </c>
      <c r="B1791" s="580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58" t="s">
        <v>344</v>
      </c>
      <c r="B1792" s="558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81" t="s">
        <v>3</v>
      </c>
      <c r="B1793" s="581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62" t="s">
        <v>5</v>
      </c>
      <c r="B1794" s="562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80" t="s">
        <v>7</v>
      </c>
      <c r="B1795" s="580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58" t="s">
        <v>345</v>
      </c>
      <c r="B1796" s="558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81" t="s">
        <v>3</v>
      </c>
      <c r="B1797" s="581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62" t="s">
        <v>5</v>
      </c>
      <c r="B1798" s="562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80" t="s">
        <v>7</v>
      </c>
      <c r="B1799" s="580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58" t="s">
        <v>346</v>
      </c>
      <c r="B1800" s="558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81" t="s">
        <v>3</v>
      </c>
      <c r="B1801" s="581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62" t="s">
        <v>5</v>
      </c>
      <c r="B1802" s="562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80" t="s">
        <v>7</v>
      </c>
      <c r="B1803" s="580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58" t="s">
        <v>347</v>
      </c>
      <c r="B1804" s="558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81" t="s">
        <v>3</v>
      </c>
      <c r="B1805" s="581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62" t="s">
        <v>5</v>
      </c>
      <c r="B1806" s="562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62" t="s">
        <v>7</v>
      </c>
      <c r="B1807" s="562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49" t="s">
        <v>348</v>
      </c>
      <c r="B1809" s="449"/>
      <c r="C1809" s="449"/>
      <c r="D1809" s="449"/>
      <c r="E1809" s="449"/>
      <c r="F1809" s="449"/>
      <c r="G1809" s="449"/>
      <c r="H1809" s="449"/>
      <c r="I1809" s="449"/>
      <c r="J1809" s="449"/>
      <c r="K1809" s="449"/>
      <c r="L1809" s="449"/>
      <c r="M1809" s="449"/>
      <c r="N1809" s="449"/>
      <c r="O1809" s="449"/>
      <c r="P1809" s="449"/>
      <c r="Q1809" s="449"/>
      <c r="R1809" s="449"/>
    </row>
    <row r="1810" spans="1:18" ht="12.3" customHeight="1">
      <c r="A1810" s="450" t="s">
        <v>69</v>
      </c>
      <c r="B1810" s="451"/>
      <c r="C1810" s="454" t="s">
        <v>14</v>
      </c>
      <c r="D1810" s="455"/>
      <c r="E1810" s="455"/>
      <c r="F1810" s="455"/>
      <c r="G1810" s="455"/>
      <c r="H1810" s="455"/>
      <c r="I1810" s="455"/>
      <c r="J1810" s="455"/>
      <c r="K1810" s="455"/>
      <c r="L1810" s="455"/>
      <c r="M1810" s="455"/>
      <c r="N1810" s="455"/>
      <c r="O1810" s="455"/>
      <c r="P1810" s="455"/>
      <c r="Q1810" s="455"/>
    </row>
    <row r="1811" spans="1:18" ht="9" customHeight="1">
      <c r="A1811" s="452"/>
      <c r="B1811" s="453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58" t="s">
        <v>87</v>
      </c>
      <c r="B1812" s="558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81" t="s">
        <v>3</v>
      </c>
      <c r="B1813" s="581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62" t="s">
        <v>5</v>
      </c>
      <c r="B1814" s="562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80" t="s">
        <v>7</v>
      </c>
      <c r="B1815" s="580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58" t="s">
        <v>88</v>
      </c>
      <c r="B1816" s="558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81" t="s">
        <v>3</v>
      </c>
      <c r="B1817" s="581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62" t="s">
        <v>5</v>
      </c>
      <c r="B1818" s="562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80" t="s">
        <v>7</v>
      </c>
      <c r="B1819" s="580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58" t="s">
        <v>340</v>
      </c>
      <c r="B1820" s="558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81" t="s">
        <v>3</v>
      </c>
      <c r="B1821" s="581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62" t="s">
        <v>5</v>
      </c>
      <c r="B1822" s="562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80" t="s">
        <v>7</v>
      </c>
      <c r="B1823" s="580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58" t="s">
        <v>341</v>
      </c>
      <c r="B1824" s="558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81" t="s">
        <v>3</v>
      </c>
      <c r="B1825" s="581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62" t="s">
        <v>5</v>
      </c>
      <c r="B1826" s="562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80" t="s">
        <v>7</v>
      </c>
      <c r="B1827" s="580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82" t="s">
        <v>342</v>
      </c>
      <c r="B1828" s="582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81" t="s">
        <v>3</v>
      </c>
      <c r="B1829" s="581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62" t="s">
        <v>5</v>
      </c>
      <c r="B1830" s="562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80" t="s">
        <v>7</v>
      </c>
      <c r="B1831" s="580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82" t="s">
        <v>343</v>
      </c>
      <c r="B1832" s="582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81" t="s">
        <v>3</v>
      </c>
      <c r="B1833" s="581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62" t="s">
        <v>5</v>
      </c>
      <c r="B1834" s="562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80" t="s">
        <v>7</v>
      </c>
      <c r="B1835" s="580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58" t="s">
        <v>344</v>
      </c>
      <c r="B1836" s="558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81" t="s">
        <v>3</v>
      </c>
      <c r="B1837" s="581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62" t="s">
        <v>5</v>
      </c>
      <c r="B1838" s="562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80" t="s">
        <v>7</v>
      </c>
      <c r="B1839" s="580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58" t="s">
        <v>345</v>
      </c>
      <c r="B1840" s="558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81" t="s">
        <v>3</v>
      </c>
      <c r="B1841" s="581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62" t="s">
        <v>5</v>
      </c>
      <c r="B1842" s="562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80" t="s">
        <v>7</v>
      </c>
      <c r="B1843" s="580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58" t="s">
        <v>346</v>
      </c>
      <c r="B1844" s="558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81" t="s">
        <v>3</v>
      </c>
      <c r="B1845" s="581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62" t="s">
        <v>5</v>
      </c>
      <c r="B1846" s="562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80" t="s">
        <v>7</v>
      </c>
      <c r="B1847" s="580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58" t="s">
        <v>347</v>
      </c>
      <c r="B1848" s="558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81" t="s">
        <v>3</v>
      </c>
      <c r="B1849" s="581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62" t="s">
        <v>5</v>
      </c>
      <c r="B1850" s="562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62" t="s">
        <v>7</v>
      </c>
      <c r="B1851" s="562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49" t="s">
        <v>349</v>
      </c>
      <c r="B1853" s="449"/>
      <c r="C1853" s="449"/>
      <c r="D1853" s="449"/>
      <c r="E1853" s="449"/>
      <c r="F1853" s="449"/>
      <c r="G1853" s="449"/>
      <c r="H1853" s="449"/>
      <c r="I1853" s="449"/>
      <c r="J1853" s="449"/>
      <c r="K1853" s="449"/>
      <c r="L1853" s="449"/>
      <c r="M1853" s="449"/>
      <c r="N1853" s="449"/>
      <c r="O1853" s="449"/>
      <c r="P1853" s="449"/>
      <c r="Q1853" s="449"/>
      <c r="R1853" s="449"/>
    </row>
    <row r="1854" spans="1:18" ht="12.3" customHeight="1">
      <c r="A1854" s="450" t="s">
        <v>69</v>
      </c>
      <c r="B1854" s="451"/>
      <c r="C1854" s="454" t="s">
        <v>14</v>
      </c>
      <c r="D1854" s="455"/>
      <c r="E1854" s="455"/>
      <c r="F1854" s="455"/>
      <c r="G1854" s="455"/>
      <c r="H1854" s="455"/>
      <c r="I1854" s="455"/>
      <c r="J1854" s="455"/>
      <c r="K1854" s="455"/>
      <c r="L1854" s="455"/>
      <c r="M1854" s="455"/>
      <c r="N1854" s="455"/>
      <c r="O1854" s="455"/>
      <c r="P1854" s="455"/>
      <c r="Q1854" s="455"/>
    </row>
    <row r="1855" spans="1:18" ht="9" customHeight="1">
      <c r="A1855" s="452"/>
      <c r="B1855" s="453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58" t="s">
        <v>87</v>
      </c>
      <c r="B1856" s="558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81" t="s">
        <v>3</v>
      </c>
      <c r="B1857" s="581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62" t="s">
        <v>5</v>
      </c>
      <c r="B1858" s="562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80" t="s">
        <v>7</v>
      </c>
      <c r="B1859" s="580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58" t="s">
        <v>88</v>
      </c>
      <c r="B1860" s="558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81" t="s">
        <v>3</v>
      </c>
      <c r="B1861" s="581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62" t="s">
        <v>5</v>
      </c>
      <c r="B1862" s="562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80" t="s">
        <v>7</v>
      </c>
      <c r="B1863" s="580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58" t="s">
        <v>340</v>
      </c>
      <c r="B1864" s="558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81" t="s">
        <v>3</v>
      </c>
      <c r="B1865" s="581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62" t="s">
        <v>5</v>
      </c>
      <c r="B1866" s="562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80" t="s">
        <v>7</v>
      </c>
      <c r="B1867" s="580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58" t="s">
        <v>341</v>
      </c>
      <c r="B1868" s="558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81" t="s">
        <v>3</v>
      </c>
      <c r="B1869" s="581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62" t="s">
        <v>5</v>
      </c>
      <c r="B1870" s="562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80" t="s">
        <v>7</v>
      </c>
      <c r="B1871" s="580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58" t="s">
        <v>350</v>
      </c>
      <c r="B1872" s="558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81" t="s">
        <v>3</v>
      </c>
      <c r="B1873" s="581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62" t="s">
        <v>5</v>
      </c>
      <c r="B1874" s="562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80" t="s">
        <v>7</v>
      </c>
      <c r="B1875" s="580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58" t="s">
        <v>351</v>
      </c>
      <c r="B1876" s="558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81" t="s">
        <v>3</v>
      </c>
      <c r="B1877" s="581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62" t="s">
        <v>5</v>
      </c>
      <c r="B1878" s="562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80" t="s">
        <v>7</v>
      </c>
      <c r="B1879" s="580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58" t="s">
        <v>344</v>
      </c>
      <c r="B1880" s="558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81" t="s">
        <v>3</v>
      </c>
      <c r="B1881" s="581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62" t="s">
        <v>5</v>
      </c>
      <c r="B1882" s="562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80" t="s">
        <v>7</v>
      </c>
      <c r="B1883" s="580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58" t="s">
        <v>345</v>
      </c>
      <c r="B1884" s="558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81" t="s">
        <v>3</v>
      </c>
      <c r="B1885" s="581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62" t="s">
        <v>5</v>
      </c>
      <c r="B1886" s="562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80" t="s">
        <v>7</v>
      </c>
      <c r="B1887" s="580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58" t="s">
        <v>346</v>
      </c>
      <c r="B1888" s="558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81" t="s">
        <v>3</v>
      </c>
      <c r="B1889" s="581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62" t="s">
        <v>5</v>
      </c>
      <c r="B1890" s="562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80" t="s">
        <v>7</v>
      </c>
      <c r="B1891" s="580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58" t="s">
        <v>347</v>
      </c>
      <c r="B1892" s="558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81" t="s">
        <v>3</v>
      </c>
      <c r="B1893" s="581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62" t="s">
        <v>5</v>
      </c>
      <c r="B1894" s="562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62" t="s">
        <v>7</v>
      </c>
      <c r="B1895" s="562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49" t="s">
        <v>352</v>
      </c>
      <c r="B1897" s="449"/>
      <c r="C1897" s="449"/>
      <c r="D1897" s="449"/>
      <c r="E1897" s="449"/>
      <c r="F1897" s="449"/>
      <c r="G1897" s="449"/>
      <c r="H1897" s="449"/>
      <c r="I1897" s="449"/>
      <c r="J1897" s="449"/>
      <c r="K1897" s="449"/>
      <c r="L1897" s="449"/>
      <c r="M1897" s="449"/>
      <c r="N1897" s="449"/>
      <c r="O1897" s="449"/>
      <c r="P1897" s="449"/>
      <c r="Q1897" s="449"/>
      <c r="R1897" s="449"/>
    </row>
    <row r="1898" spans="1:18" ht="12.3" customHeight="1">
      <c r="A1898" s="450" t="s">
        <v>69</v>
      </c>
      <c r="B1898" s="451"/>
      <c r="C1898" s="454" t="s">
        <v>14</v>
      </c>
      <c r="D1898" s="455"/>
      <c r="E1898" s="455"/>
      <c r="F1898" s="455"/>
      <c r="G1898" s="455"/>
      <c r="H1898" s="455"/>
      <c r="I1898" s="455"/>
      <c r="J1898" s="455"/>
      <c r="K1898" s="455"/>
      <c r="L1898" s="455"/>
      <c r="M1898" s="455"/>
      <c r="N1898" s="455"/>
      <c r="O1898" s="455"/>
      <c r="P1898" s="455"/>
      <c r="Q1898" s="455"/>
    </row>
    <row r="1899" spans="1:18" ht="9" customHeight="1">
      <c r="A1899" s="452"/>
      <c r="B1899" s="453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58" t="s">
        <v>87</v>
      </c>
      <c r="B1900" s="558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81" t="s">
        <v>3</v>
      </c>
      <c r="B1901" s="581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62" t="s">
        <v>5</v>
      </c>
      <c r="B1902" s="562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80" t="s">
        <v>7</v>
      </c>
      <c r="B1903" s="580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58" t="s">
        <v>88</v>
      </c>
      <c r="B1904" s="558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81" t="s">
        <v>3</v>
      </c>
      <c r="B1905" s="581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62" t="s">
        <v>5</v>
      </c>
      <c r="B1906" s="562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80" t="s">
        <v>7</v>
      </c>
      <c r="B1907" s="580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58" t="s">
        <v>340</v>
      </c>
      <c r="B1908" s="558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81" t="s">
        <v>3</v>
      </c>
      <c r="B1909" s="581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62" t="s">
        <v>5</v>
      </c>
      <c r="B1910" s="562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80" t="s">
        <v>7</v>
      </c>
      <c r="B1911" s="580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58" t="s">
        <v>341</v>
      </c>
      <c r="B1912" s="558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81" t="s">
        <v>3</v>
      </c>
      <c r="B1913" s="581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62" t="s">
        <v>5</v>
      </c>
      <c r="B1914" s="562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80" t="s">
        <v>7</v>
      </c>
      <c r="B1915" s="580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58" t="s">
        <v>350</v>
      </c>
      <c r="B1916" s="558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81" t="s">
        <v>3</v>
      </c>
      <c r="B1917" s="581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62" t="s">
        <v>5</v>
      </c>
      <c r="B1918" s="562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80" t="s">
        <v>7</v>
      </c>
      <c r="B1919" s="580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58" t="s">
        <v>351</v>
      </c>
      <c r="B1920" s="558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81" t="s">
        <v>3</v>
      </c>
      <c r="B1921" s="581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62" t="s">
        <v>5</v>
      </c>
      <c r="B1922" s="562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80" t="s">
        <v>7</v>
      </c>
      <c r="B1923" s="580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58" t="s">
        <v>344</v>
      </c>
      <c r="B1924" s="558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81" t="s">
        <v>3</v>
      </c>
      <c r="B1925" s="581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62" t="s">
        <v>5</v>
      </c>
      <c r="B1926" s="562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80" t="s">
        <v>7</v>
      </c>
      <c r="B1927" s="580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58" t="s">
        <v>345</v>
      </c>
      <c r="B1928" s="558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81" t="s">
        <v>3</v>
      </c>
      <c r="B1929" s="581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62" t="s">
        <v>5</v>
      </c>
      <c r="B1930" s="562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80" t="s">
        <v>7</v>
      </c>
      <c r="B1931" s="580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58" t="s">
        <v>346</v>
      </c>
      <c r="B1932" s="558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81" t="s">
        <v>3</v>
      </c>
      <c r="B1933" s="581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62" t="s">
        <v>5</v>
      </c>
      <c r="B1934" s="562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80" t="s">
        <v>7</v>
      </c>
      <c r="B1935" s="580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58" t="s">
        <v>347</v>
      </c>
      <c r="B1936" s="558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81" t="s">
        <v>3</v>
      </c>
      <c r="B1937" s="581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62" t="s">
        <v>5</v>
      </c>
      <c r="B1938" s="562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62" t="s">
        <v>7</v>
      </c>
      <c r="B1939" s="562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75" t="s">
        <v>353</v>
      </c>
      <c r="B1941" s="449"/>
      <c r="C1941" s="449"/>
      <c r="D1941" s="449"/>
      <c r="E1941" s="449"/>
      <c r="F1941" s="449"/>
      <c r="G1941" s="449"/>
      <c r="H1941" s="449"/>
      <c r="I1941" s="449"/>
      <c r="J1941" s="449"/>
      <c r="K1941" s="449"/>
      <c r="L1941" s="449"/>
      <c r="M1941" s="449"/>
      <c r="N1941" s="449"/>
    </row>
    <row r="1942" spans="1:17" ht="12.75" customHeight="1">
      <c r="A1942" s="450" t="s">
        <v>11</v>
      </c>
      <c r="B1942" s="450" t="s">
        <v>12</v>
      </c>
      <c r="C1942" s="450"/>
      <c r="D1942" s="470" t="s">
        <v>13</v>
      </c>
      <c r="E1942" s="454" t="s">
        <v>14</v>
      </c>
      <c r="F1942" s="455"/>
      <c r="G1942" s="455"/>
      <c r="H1942" s="455"/>
      <c r="I1942" s="455"/>
      <c r="J1942" s="455"/>
      <c r="K1942" s="455"/>
      <c r="L1942" s="455"/>
      <c r="M1942" s="455"/>
    </row>
    <row r="1943" spans="1:17" ht="12" customHeight="1">
      <c r="A1943" s="452"/>
      <c r="B1943" s="452"/>
      <c r="C1943" s="452"/>
      <c r="D1943" s="471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68">
        <v>1800</v>
      </c>
      <c r="C1944" s="468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65">
        <v>1500</v>
      </c>
      <c r="C1945" s="465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65">
        <v>1200</v>
      </c>
      <c r="C1946" s="465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67">
        <v>1000</v>
      </c>
      <c r="C1947" s="467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68">
        <v>1800</v>
      </c>
      <c r="C1948" s="468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65">
        <v>1500</v>
      </c>
      <c r="C1949" s="465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65">
        <v>1200</v>
      </c>
      <c r="C1950" s="465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67">
        <v>1000</v>
      </c>
      <c r="C1951" s="467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68">
        <v>1800</v>
      </c>
      <c r="C1952" s="468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65">
        <v>1500</v>
      </c>
      <c r="C1953" s="465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65">
        <v>1200</v>
      </c>
      <c r="C1954" s="465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67">
        <v>1000</v>
      </c>
      <c r="C1955" s="467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68">
        <v>1800</v>
      </c>
      <c r="C1956" s="468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65">
        <v>1500</v>
      </c>
      <c r="C1957" s="465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65">
        <v>1200</v>
      </c>
      <c r="C1958" s="465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67">
        <v>1000</v>
      </c>
      <c r="C1959" s="467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68">
        <v>1800</v>
      </c>
      <c r="C1960" s="468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65">
        <v>1500</v>
      </c>
      <c r="C1961" s="465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65">
        <v>1200</v>
      </c>
      <c r="C1962" s="465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67">
        <v>1000</v>
      </c>
      <c r="C1963" s="467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68">
        <v>1800</v>
      </c>
      <c r="C1964" s="468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65">
        <v>1500</v>
      </c>
      <c r="C1965" s="465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65">
        <v>1200</v>
      </c>
      <c r="C1966" s="465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67">
        <v>1000</v>
      </c>
      <c r="C1967" s="467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68">
        <v>1800</v>
      </c>
      <c r="C1968" s="468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65">
        <v>1500</v>
      </c>
      <c r="C1969" s="465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65">
        <v>1200</v>
      </c>
      <c r="C1970" s="465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67">
        <v>1000</v>
      </c>
      <c r="C1971" s="467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68">
        <v>1800</v>
      </c>
      <c r="C1972" s="468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65">
        <v>1500</v>
      </c>
      <c r="C1973" s="465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65">
        <v>1200</v>
      </c>
      <c r="C1974" s="465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67">
        <v>1000</v>
      </c>
      <c r="C1975" s="467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68">
        <v>1800</v>
      </c>
      <c r="C1976" s="468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65">
        <v>1500</v>
      </c>
      <c r="C1977" s="465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65">
        <v>1200</v>
      </c>
      <c r="C1978" s="465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67">
        <v>1000</v>
      </c>
      <c r="C1979" s="467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68">
        <v>1800</v>
      </c>
      <c r="C1980" s="468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65">
        <v>1500</v>
      </c>
      <c r="C1981" s="465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65">
        <v>1200</v>
      </c>
      <c r="C1982" s="465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67">
        <v>1000</v>
      </c>
      <c r="C1983" s="467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68">
        <v>1800</v>
      </c>
      <c r="C1984" s="468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65">
        <v>1500</v>
      </c>
      <c r="C1985" s="465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65">
        <v>1200</v>
      </c>
      <c r="C1986" s="465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67">
        <v>1000</v>
      </c>
      <c r="C1987" s="467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68">
        <v>1800</v>
      </c>
      <c r="C1988" s="468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65">
        <v>1500</v>
      </c>
      <c r="C1989" s="465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65">
        <v>1200</v>
      </c>
      <c r="C1990" s="465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67">
        <v>1000</v>
      </c>
      <c r="C1991" s="467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68">
        <v>1800</v>
      </c>
      <c r="C1992" s="468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65">
        <v>1500</v>
      </c>
      <c r="C1993" s="465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65">
        <v>1200</v>
      </c>
      <c r="C1994" s="465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67">
        <v>1000</v>
      </c>
      <c r="C1995" s="467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68">
        <v>1800</v>
      </c>
      <c r="C1996" s="468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65">
        <v>1500</v>
      </c>
      <c r="C1997" s="465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65">
        <v>1200</v>
      </c>
      <c r="C1998" s="465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65">
        <v>1000</v>
      </c>
      <c r="C1999" s="465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68">
        <v>1800</v>
      </c>
      <c r="C2000" s="468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65">
        <v>1500</v>
      </c>
      <c r="C2001" s="465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65">
        <v>1200</v>
      </c>
      <c r="C2002" s="465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67">
        <v>1000</v>
      </c>
      <c r="C2003" s="467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68">
        <v>1800</v>
      </c>
      <c r="C2004" s="468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65">
        <v>1500</v>
      </c>
      <c r="C2005" s="465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65">
        <v>1200</v>
      </c>
      <c r="C2006" s="465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67">
        <v>1000</v>
      </c>
      <c r="C2007" s="467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68">
        <v>1800</v>
      </c>
      <c r="C2008" s="468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65">
        <v>1500</v>
      </c>
      <c r="C2009" s="465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65">
        <v>1200</v>
      </c>
      <c r="C2010" s="465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67">
        <v>1000</v>
      </c>
      <c r="C2011" s="467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68">
        <v>1800</v>
      </c>
      <c r="C2012" s="468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65">
        <v>1500</v>
      </c>
      <c r="C2013" s="465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65">
        <v>1200</v>
      </c>
      <c r="C2014" s="465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65">
        <v>1000</v>
      </c>
      <c r="C2015" s="465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75" t="s">
        <v>353</v>
      </c>
      <c r="B2017" s="449"/>
      <c r="C2017" s="449"/>
      <c r="D2017" s="449"/>
      <c r="E2017" s="449"/>
      <c r="F2017" s="449"/>
      <c r="G2017" s="449"/>
      <c r="H2017" s="449"/>
      <c r="I2017" s="449"/>
      <c r="J2017" s="449"/>
      <c r="K2017" s="449"/>
      <c r="L2017" s="449"/>
      <c r="M2017" s="449"/>
      <c r="N2017" s="449"/>
      <c r="O2017" s="449"/>
      <c r="P2017" s="449"/>
      <c r="Q2017" s="449"/>
      <c r="R2017" s="449"/>
      <c r="S2017" s="449"/>
      <c r="T2017" s="449"/>
      <c r="U2017" s="449"/>
    </row>
    <row r="2018" spans="1:21" ht="12.75" customHeight="1">
      <c r="A2018" s="450" t="s">
        <v>11</v>
      </c>
      <c r="B2018" s="450" t="s">
        <v>12</v>
      </c>
      <c r="C2018" s="450"/>
      <c r="D2018" s="451" t="s">
        <v>13</v>
      </c>
      <c r="E2018" s="454" t="s">
        <v>14</v>
      </c>
      <c r="F2018" s="455"/>
      <c r="G2018" s="455"/>
      <c r="H2018" s="455"/>
      <c r="I2018" s="455"/>
      <c r="J2018" s="455"/>
      <c r="K2018" s="455"/>
      <c r="L2018" s="455"/>
      <c r="M2018" s="455"/>
      <c r="N2018" s="455"/>
      <c r="O2018" s="455"/>
      <c r="P2018" s="455"/>
      <c r="Q2018" s="455"/>
      <c r="R2018" s="455"/>
      <c r="S2018" s="455"/>
      <c r="T2018" s="455"/>
    </row>
    <row r="2019" spans="1:21" ht="12" customHeight="1">
      <c r="A2019" s="452"/>
      <c r="B2019" s="452"/>
      <c r="C2019" s="452"/>
      <c r="D2019" s="453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46">
        <v>1800</v>
      </c>
      <c r="C2020" s="546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49">
        <v>1500</v>
      </c>
      <c r="C2021" s="549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49">
        <v>1200</v>
      </c>
      <c r="C2022" s="549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56">
        <v>1000</v>
      </c>
      <c r="C2023" s="556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46">
        <v>1800</v>
      </c>
      <c r="C2024" s="546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49">
        <v>1500</v>
      </c>
      <c r="C2025" s="549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49">
        <v>1200</v>
      </c>
      <c r="C2026" s="549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56">
        <v>1000</v>
      </c>
      <c r="C2027" s="556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46">
        <v>1800</v>
      </c>
      <c r="C2028" s="546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49">
        <v>1500</v>
      </c>
      <c r="C2029" s="549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49">
        <v>1200</v>
      </c>
      <c r="C2030" s="549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56">
        <v>1000</v>
      </c>
      <c r="C2031" s="556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46">
        <v>1800</v>
      </c>
      <c r="C2032" s="546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49">
        <v>1500</v>
      </c>
      <c r="C2033" s="549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49">
        <v>1200</v>
      </c>
      <c r="C2034" s="549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56">
        <v>1000</v>
      </c>
      <c r="C2035" s="556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46">
        <v>1800</v>
      </c>
      <c r="C2036" s="546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49">
        <v>1500</v>
      </c>
      <c r="C2037" s="549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49">
        <v>1200</v>
      </c>
      <c r="C2038" s="549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56">
        <v>1000</v>
      </c>
      <c r="C2039" s="556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46">
        <v>1800</v>
      </c>
      <c r="C2040" s="546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49">
        <v>1500</v>
      </c>
      <c r="C2041" s="549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49">
        <v>1200</v>
      </c>
      <c r="C2042" s="549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56">
        <v>1000</v>
      </c>
      <c r="C2043" s="556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46">
        <v>1800</v>
      </c>
      <c r="C2044" s="546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49">
        <v>1500</v>
      </c>
      <c r="C2045" s="549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49">
        <v>1200</v>
      </c>
      <c r="C2046" s="549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56">
        <v>1000</v>
      </c>
      <c r="C2047" s="556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46">
        <v>1800</v>
      </c>
      <c r="C2048" s="546"/>
      <c r="D2048" s="249">
        <v>64</v>
      </c>
      <c r="E2048" s="127">
        <v>607</v>
      </c>
      <c r="F2048" s="573">
        <v>757</v>
      </c>
      <c r="G2048" s="547" t="s">
        <v>421</v>
      </c>
      <c r="H2048" s="547" t="s">
        <v>422</v>
      </c>
      <c r="I2048" s="547" t="s">
        <v>169</v>
      </c>
      <c r="J2048" s="547" t="s">
        <v>423</v>
      </c>
      <c r="K2048" s="547" t="s">
        <v>200</v>
      </c>
      <c r="L2048" s="547" t="s">
        <v>201</v>
      </c>
      <c r="M2048" s="547" t="s">
        <v>202</v>
      </c>
      <c r="N2048" s="547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81"/>
      <c r="B2049" s="549">
        <v>1500</v>
      </c>
      <c r="C2049" s="549"/>
      <c r="D2049" s="550">
        <v>54</v>
      </c>
      <c r="E2049" s="551">
        <v>512</v>
      </c>
      <c r="F2049" s="574"/>
      <c r="G2049" s="548"/>
      <c r="H2049" s="548"/>
      <c r="I2049" s="548"/>
      <c r="J2049" s="548"/>
      <c r="K2049" s="548"/>
      <c r="L2049" s="548"/>
      <c r="M2049" s="548"/>
      <c r="N2049" s="548"/>
      <c r="O2049" s="554" t="s">
        <v>21</v>
      </c>
      <c r="P2049" s="554" t="s">
        <v>21</v>
      </c>
      <c r="Q2049" s="554" t="s">
        <v>21</v>
      </c>
      <c r="R2049" s="554" t="s">
        <v>21</v>
      </c>
      <c r="S2049" s="554" t="s">
        <v>21</v>
      </c>
      <c r="T2049" s="555" t="s">
        <v>21</v>
      </c>
    </row>
    <row r="2050" spans="1:20" ht="9" customHeight="1">
      <c r="A2050" s="481"/>
      <c r="B2050" s="549"/>
      <c r="C2050" s="549"/>
      <c r="D2050" s="550"/>
      <c r="E2050" s="551"/>
      <c r="F2050" s="126">
        <v>638</v>
      </c>
      <c r="G2050" s="41">
        <v>865</v>
      </c>
      <c r="H2050" s="41">
        <v>978</v>
      </c>
      <c r="I2050" s="574">
        <v>1130</v>
      </c>
      <c r="J2050" s="574">
        <v>1357</v>
      </c>
      <c r="K2050" s="574">
        <v>1696</v>
      </c>
      <c r="L2050" s="574">
        <v>1950</v>
      </c>
      <c r="M2050" s="574">
        <v>2374</v>
      </c>
      <c r="N2050" s="548" t="s">
        <v>424</v>
      </c>
      <c r="O2050" s="554"/>
      <c r="P2050" s="554"/>
      <c r="Q2050" s="554"/>
      <c r="R2050" s="554"/>
      <c r="S2050" s="554"/>
      <c r="T2050" s="555"/>
    </row>
    <row r="2051" spans="1:20" ht="2.5499999999999998" customHeight="1">
      <c r="A2051" s="481"/>
      <c r="B2051" s="549">
        <v>1200</v>
      </c>
      <c r="C2051" s="549"/>
      <c r="D2051" s="550">
        <v>43</v>
      </c>
      <c r="E2051" s="551">
        <v>408</v>
      </c>
      <c r="F2051" s="553">
        <v>508</v>
      </c>
      <c r="G2051" s="553">
        <v>688</v>
      </c>
      <c r="H2051" s="553">
        <v>778</v>
      </c>
      <c r="I2051" s="574"/>
      <c r="J2051" s="574"/>
      <c r="K2051" s="574"/>
      <c r="L2051" s="574"/>
      <c r="M2051" s="574"/>
      <c r="N2051" s="548"/>
      <c r="O2051" s="554" t="s">
        <v>21</v>
      </c>
      <c r="P2051" s="554" t="s">
        <v>21</v>
      </c>
      <c r="Q2051" s="554" t="s">
        <v>21</v>
      </c>
      <c r="R2051" s="554" t="s">
        <v>21</v>
      </c>
      <c r="S2051" s="554" t="s">
        <v>21</v>
      </c>
      <c r="T2051" s="555" t="s">
        <v>21</v>
      </c>
    </row>
    <row r="2052" spans="1:20" ht="9" customHeight="1">
      <c r="A2052" s="481"/>
      <c r="B2052" s="549"/>
      <c r="C2052" s="549"/>
      <c r="D2052" s="550"/>
      <c r="E2052" s="551"/>
      <c r="F2052" s="553"/>
      <c r="G2052" s="553"/>
      <c r="H2052" s="553"/>
      <c r="I2052" s="41">
        <v>900</v>
      </c>
      <c r="J2052" s="41">
        <v>1080</v>
      </c>
      <c r="K2052" s="574">
        <v>1350</v>
      </c>
      <c r="L2052" s="574">
        <v>1553</v>
      </c>
      <c r="M2052" s="574">
        <v>1891</v>
      </c>
      <c r="N2052" s="548" t="s">
        <v>425</v>
      </c>
      <c r="O2052" s="554"/>
      <c r="P2052" s="554"/>
      <c r="Q2052" s="554"/>
      <c r="R2052" s="554"/>
      <c r="S2052" s="554"/>
      <c r="T2052" s="555"/>
    </row>
    <row r="2053" spans="1:20" ht="2.5499999999999998" customHeight="1">
      <c r="A2053" s="481"/>
      <c r="B2053" s="549">
        <v>1000</v>
      </c>
      <c r="C2053" s="549"/>
      <c r="D2053" s="550">
        <v>36</v>
      </c>
      <c r="E2053" s="551">
        <v>341</v>
      </c>
      <c r="F2053" s="553">
        <v>425</v>
      </c>
      <c r="G2053" s="553">
        <v>576</v>
      </c>
      <c r="H2053" s="553">
        <v>652</v>
      </c>
      <c r="I2053" s="553">
        <v>753</v>
      </c>
      <c r="J2053" s="553">
        <v>904</v>
      </c>
      <c r="K2053" s="574"/>
      <c r="L2053" s="574"/>
      <c r="M2053" s="574"/>
      <c r="N2053" s="548"/>
      <c r="O2053" s="553">
        <v>2393</v>
      </c>
      <c r="P2053" s="553">
        <v>2711</v>
      </c>
      <c r="Q2053" s="553">
        <v>3216</v>
      </c>
      <c r="R2053" s="553">
        <v>3852</v>
      </c>
      <c r="S2053" s="554" t="s">
        <v>21</v>
      </c>
      <c r="T2053" s="555" t="s">
        <v>21</v>
      </c>
    </row>
    <row r="2054" spans="1:20" ht="9" customHeight="1">
      <c r="A2054" s="482"/>
      <c r="B2054" s="556"/>
      <c r="C2054" s="556"/>
      <c r="D2054" s="578"/>
      <c r="E2054" s="579"/>
      <c r="F2054" s="575"/>
      <c r="G2054" s="575"/>
      <c r="H2054" s="575"/>
      <c r="I2054" s="575"/>
      <c r="J2054" s="575"/>
      <c r="K2054" s="48">
        <v>1130</v>
      </c>
      <c r="L2054" s="48">
        <v>1300</v>
      </c>
      <c r="M2054" s="48">
        <v>1583</v>
      </c>
      <c r="N2054" s="48">
        <v>1771</v>
      </c>
      <c r="O2054" s="575"/>
      <c r="P2054" s="575"/>
      <c r="Q2054" s="575"/>
      <c r="R2054" s="575"/>
      <c r="S2054" s="576"/>
      <c r="T2054" s="577"/>
    </row>
    <row r="2055" spans="1:20" ht="9.75" customHeight="1">
      <c r="A2055" s="51">
        <v>31.5</v>
      </c>
      <c r="B2055" s="546">
        <v>1800</v>
      </c>
      <c r="C2055" s="546"/>
      <c r="D2055" s="249">
        <v>57</v>
      </c>
      <c r="E2055" s="127">
        <v>541</v>
      </c>
      <c r="F2055" s="129">
        <v>674</v>
      </c>
      <c r="G2055" s="10" t="s">
        <v>426</v>
      </c>
      <c r="H2055" s="547" t="s">
        <v>427</v>
      </c>
      <c r="I2055" s="547" t="s">
        <v>428</v>
      </c>
      <c r="J2055" s="547" t="s">
        <v>429</v>
      </c>
      <c r="K2055" s="547" t="s">
        <v>204</v>
      </c>
      <c r="L2055" s="547" t="s">
        <v>205</v>
      </c>
      <c r="M2055" s="547" t="s">
        <v>206</v>
      </c>
      <c r="N2055" s="547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81"/>
      <c r="B2056" s="549">
        <v>1500</v>
      </c>
      <c r="C2056" s="549"/>
      <c r="D2056" s="550">
        <v>48</v>
      </c>
      <c r="E2056" s="551">
        <v>455</v>
      </c>
      <c r="F2056" s="553">
        <v>567</v>
      </c>
      <c r="G2056" s="553">
        <v>769</v>
      </c>
      <c r="H2056" s="548"/>
      <c r="I2056" s="548"/>
      <c r="J2056" s="548"/>
      <c r="K2056" s="548"/>
      <c r="L2056" s="548"/>
      <c r="M2056" s="548"/>
      <c r="N2056" s="548"/>
      <c r="O2056" s="554" t="s">
        <v>21</v>
      </c>
      <c r="P2056" s="554" t="s">
        <v>21</v>
      </c>
      <c r="Q2056" s="554" t="s">
        <v>21</v>
      </c>
      <c r="R2056" s="554" t="s">
        <v>21</v>
      </c>
      <c r="S2056" s="554" t="s">
        <v>21</v>
      </c>
      <c r="T2056" s="555" t="s">
        <v>21</v>
      </c>
    </row>
    <row r="2057" spans="1:20" ht="9" customHeight="1">
      <c r="A2057" s="481"/>
      <c r="B2057" s="549"/>
      <c r="C2057" s="549"/>
      <c r="D2057" s="550"/>
      <c r="E2057" s="551"/>
      <c r="F2057" s="553"/>
      <c r="G2057" s="553"/>
      <c r="H2057" s="41">
        <v>869</v>
      </c>
      <c r="I2057" s="41">
        <v>1005</v>
      </c>
      <c r="J2057" s="574">
        <v>1206</v>
      </c>
      <c r="K2057" s="574">
        <v>1507</v>
      </c>
      <c r="L2057" s="574">
        <v>1734</v>
      </c>
      <c r="M2057" s="574">
        <v>2110</v>
      </c>
      <c r="N2057" s="574">
        <v>2362</v>
      </c>
      <c r="O2057" s="554"/>
      <c r="P2057" s="554"/>
      <c r="Q2057" s="554"/>
      <c r="R2057" s="554"/>
      <c r="S2057" s="554"/>
      <c r="T2057" s="555"/>
    </row>
    <row r="2058" spans="1:20" ht="2.5499999999999998" customHeight="1">
      <c r="A2058" s="481"/>
      <c r="B2058" s="549">
        <v>1200</v>
      </c>
      <c r="C2058" s="549"/>
      <c r="D2058" s="550">
        <v>38</v>
      </c>
      <c r="E2058" s="551">
        <v>360</v>
      </c>
      <c r="F2058" s="553">
        <v>449</v>
      </c>
      <c r="G2058" s="553">
        <v>608</v>
      </c>
      <c r="H2058" s="553">
        <v>688</v>
      </c>
      <c r="I2058" s="553">
        <v>795</v>
      </c>
      <c r="J2058" s="574"/>
      <c r="K2058" s="574"/>
      <c r="L2058" s="574"/>
      <c r="M2058" s="574"/>
      <c r="N2058" s="574"/>
      <c r="O2058" s="554" t="s">
        <v>21</v>
      </c>
      <c r="P2058" s="554" t="s">
        <v>21</v>
      </c>
      <c r="Q2058" s="554" t="s">
        <v>21</v>
      </c>
      <c r="R2058" s="554" t="s">
        <v>21</v>
      </c>
      <c r="S2058" s="554" t="s">
        <v>21</v>
      </c>
      <c r="T2058" s="555" t="s">
        <v>21</v>
      </c>
    </row>
    <row r="2059" spans="1:20" ht="9" customHeight="1">
      <c r="A2059" s="481"/>
      <c r="B2059" s="549"/>
      <c r="C2059" s="549"/>
      <c r="D2059" s="550"/>
      <c r="E2059" s="551"/>
      <c r="F2059" s="553"/>
      <c r="G2059" s="553"/>
      <c r="H2059" s="553"/>
      <c r="I2059" s="553"/>
      <c r="J2059" s="41">
        <v>954</v>
      </c>
      <c r="K2059" s="41">
        <v>1193</v>
      </c>
      <c r="L2059" s="574">
        <v>1372</v>
      </c>
      <c r="M2059" s="41">
        <v>1671</v>
      </c>
      <c r="N2059" s="574">
        <v>1870</v>
      </c>
      <c r="O2059" s="554"/>
      <c r="P2059" s="554"/>
      <c r="Q2059" s="554"/>
      <c r="R2059" s="554"/>
      <c r="S2059" s="554"/>
      <c r="T2059" s="555"/>
    </row>
    <row r="2060" spans="1:20" ht="2.5499999999999998" customHeight="1">
      <c r="A2060" s="481"/>
      <c r="B2060" s="549">
        <v>1000</v>
      </c>
      <c r="C2060" s="549"/>
      <c r="D2060" s="550">
        <v>32</v>
      </c>
      <c r="E2060" s="551">
        <v>303</v>
      </c>
      <c r="F2060" s="553">
        <v>378</v>
      </c>
      <c r="G2060" s="553">
        <v>512</v>
      </c>
      <c r="H2060" s="553">
        <v>579</v>
      </c>
      <c r="I2060" s="553">
        <v>670</v>
      </c>
      <c r="J2060" s="553">
        <v>804</v>
      </c>
      <c r="K2060" s="553">
        <v>1005</v>
      </c>
      <c r="L2060" s="574"/>
      <c r="M2060" s="553">
        <v>1407</v>
      </c>
      <c r="N2060" s="574"/>
      <c r="O2060" s="553">
        <v>2127</v>
      </c>
      <c r="P2060" s="553">
        <v>2410</v>
      </c>
      <c r="Q2060" s="553">
        <v>2859</v>
      </c>
      <c r="R2060" s="553">
        <v>3424</v>
      </c>
      <c r="S2060" s="554" t="s">
        <v>21</v>
      </c>
      <c r="T2060" s="555" t="s">
        <v>21</v>
      </c>
    </row>
    <row r="2061" spans="1:20" ht="9" customHeight="1">
      <c r="A2061" s="482"/>
      <c r="B2061" s="556"/>
      <c r="C2061" s="556"/>
      <c r="D2061" s="578"/>
      <c r="E2061" s="579"/>
      <c r="F2061" s="575"/>
      <c r="G2061" s="575"/>
      <c r="H2061" s="575"/>
      <c r="I2061" s="575"/>
      <c r="J2061" s="575"/>
      <c r="K2061" s="575"/>
      <c r="L2061" s="48">
        <v>1156</v>
      </c>
      <c r="M2061" s="575"/>
      <c r="N2061" s="48">
        <v>1574</v>
      </c>
      <c r="O2061" s="575"/>
      <c r="P2061" s="575"/>
      <c r="Q2061" s="575"/>
      <c r="R2061" s="575"/>
      <c r="S2061" s="576"/>
      <c r="T2061" s="577"/>
    </row>
    <row r="2062" spans="1:20" ht="9.75" customHeight="1">
      <c r="A2062" s="51">
        <v>35.5</v>
      </c>
      <c r="B2062" s="546">
        <v>1800</v>
      </c>
      <c r="C2062" s="546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47" t="s">
        <v>432</v>
      </c>
      <c r="J2062" s="547" t="s">
        <v>407</v>
      </c>
      <c r="K2062" s="547" t="s">
        <v>208</v>
      </c>
      <c r="L2062" s="547" t="s">
        <v>209</v>
      </c>
      <c r="M2062" s="547" t="s">
        <v>210</v>
      </c>
      <c r="N2062" s="547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81"/>
      <c r="B2063" s="549">
        <v>1500</v>
      </c>
      <c r="C2063" s="549"/>
      <c r="D2063" s="550">
        <v>42</v>
      </c>
      <c r="E2063" s="551">
        <v>398</v>
      </c>
      <c r="F2063" s="553">
        <v>496</v>
      </c>
      <c r="G2063" s="553">
        <v>672</v>
      </c>
      <c r="H2063" s="553">
        <v>760</v>
      </c>
      <c r="I2063" s="548"/>
      <c r="J2063" s="548"/>
      <c r="K2063" s="548"/>
      <c r="L2063" s="548"/>
      <c r="M2063" s="548"/>
      <c r="N2063" s="548"/>
      <c r="O2063" s="554" t="s">
        <v>21</v>
      </c>
      <c r="P2063" s="554" t="s">
        <v>21</v>
      </c>
      <c r="Q2063" s="554" t="s">
        <v>21</v>
      </c>
      <c r="R2063" s="554" t="s">
        <v>21</v>
      </c>
      <c r="S2063" s="554" t="s">
        <v>21</v>
      </c>
      <c r="T2063" s="555" t="s">
        <v>21</v>
      </c>
    </row>
    <row r="2064" spans="1:20" ht="9" customHeight="1">
      <c r="A2064" s="481"/>
      <c r="B2064" s="549"/>
      <c r="C2064" s="549"/>
      <c r="D2064" s="550"/>
      <c r="E2064" s="551"/>
      <c r="F2064" s="553"/>
      <c r="G2064" s="553"/>
      <c r="H2064" s="553"/>
      <c r="I2064" s="41">
        <v>879</v>
      </c>
      <c r="J2064" s="41">
        <v>1055</v>
      </c>
      <c r="K2064" s="574">
        <v>1319</v>
      </c>
      <c r="L2064" s="574">
        <v>1517</v>
      </c>
      <c r="M2064" s="574">
        <v>1847</v>
      </c>
      <c r="N2064" s="574">
        <v>2067</v>
      </c>
      <c r="O2064" s="554"/>
      <c r="P2064" s="554"/>
      <c r="Q2064" s="554"/>
      <c r="R2064" s="554"/>
      <c r="S2064" s="554"/>
      <c r="T2064" s="555"/>
    </row>
    <row r="2065" spans="1:20" ht="2.5499999999999998" customHeight="1">
      <c r="A2065" s="481"/>
      <c r="B2065" s="549">
        <v>1200</v>
      </c>
      <c r="C2065" s="549"/>
      <c r="D2065" s="550">
        <v>34</v>
      </c>
      <c r="E2065" s="551">
        <v>322</v>
      </c>
      <c r="F2065" s="553">
        <v>402</v>
      </c>
      <c r="G2065" s="553">
        <v>544</v>
      </c>
      <c r="H2065" s="553">
        <v>615</v>
      </c>
      <c r="I2065" s="553">
        <v>712</v>
      </c>
      <c r="J2065" s="553">
        <v>854</v>
      </c>
      <c r="K2065" s="574"/>
      <c r="L2065" s="574"/>
      <c r="M2065" s="574"/>
      <c r="N2065" s="574"/>
      <c r="O2065" s="554" t="s">
        <v>21</v>
      </c>
      <c r="P2065" s="554" t="s">
        <v>21</v>
      </c>
      <c r="Q2065" s="554" t="s">
        <v>21</v>
      </c>
      <c r="R2065" s="554" t="s">
        <v>21</v>
      </c>
      <c r="S2065" s="554" t="s">
        <v>21</v>
      </c>
      <c r="T2065" s="555" t="s">
        <v>21</v>
      </c>
    </row>
    <row r="2066" spans="1:20" ht="9" customHeight="1">
      <c r="A2066" s="481"/>
      <c r="B2066" s="549"/>
      <c r="C2066" s="549"/>
      <c r="D2066" s="550"/>
      <c r="E2066" s="551"/>
      <c r="F2066" s="553"/>
      <c r="G2066" s="553"/>
      <c r="H2066" s="553"/>
      <c r="I2066" s="553"/>
      <c r="J2066" s="553"/>
      <c r="K2066" s="41">
        <v>1068</v>
      </c>
      <c r="L2066" s="41">
        <v>1228</v>
      </c>
      <c r="M2066" s="41">
        <v>1495</v>
      </c>
      <c r="N2066" s="41">
        <v>1673</v>
      </c>
      <c r="O2066" s="554"/>
      <c r="P2066" s="554"/>
      <c r="Q2066" s="554"/>
      <c r="R2066" s="554"/>
      <c r="S2066" s="554"/>
      <c r="T2066" s="555"/>
    </row>
    <row r="2067" spans="1:20" ht="11.55" customHeight="1">
      <c r="A2067" s="45"/>
      <c r="B2067" s="556">
        <v>1000</v>
      </c>
      <c r="C2067" s="556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46">
        <v>1800</v>
      </c>
      <c r="C2068" s="546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47" t="s">
        <v>304</v>
      </c>
      <c r="K2068" s="547" t="s">
        <v>212</v>
      </c>
      <c r="L2068" s="547" t="s">
        <v>213</v>
      </c>
      <c r="M2068" s="547" t="s">
        <v>214</v>
      </c>
      <c r="N2068" s="547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81"/>
      <c r="B2069" s="549">
        <v>1500</v>
      </c>
      <c r="C2069" s="549"/>
      <c r="D2069" s="550">
        <v>38</v>
      </c>
      <c r="E2069" s="551">
        <v>360</v>
      </c>
      <c r="F2069" s="553">
        <v>449</v>
      </c>
      <c r="G2069" s="553">
        <v>608</v>
      </c>
      <c r="H2069" s="553">
        <v>688</v>
      </c>
      <c r="I2069" s="553">
        <v>795</v>
      </c>
      <c r="J2069" s="548"/>
      <c r="K2069" s="548"/>
      <c r="L2069" s="548"/>
      <c r="M2069" s="548"/>
      <c r="N2069" s="548"/>
      <c r="O2069" s="554" t="s">
        <v>21</v>
      </c>
      <c r="P2069" s="554" t="s">
        <v>21</v>
      </c>
      <c r="Q2069" s="554" t="s">
        <v>21</v>
      </c>
      <c r="R2069" s="554" t="s">
        <v>21</v>
      </c>
      <c r="S2069" s="554" t="s">
        <v>21</v>
      </c>
      <c r="T2069" s="555" t="s">
        <v>21</v>
      </c>
    </row>
    <row r="2070" spans="1:20" ht="9" customHeight="1">
      <c r="A2070" s="481"/>
      <c r="B2070" s="549"/>
      <c r="C2070" s="549"/>
      <c r="D2070" s="550"/>
      <c r="E2070" s="551"/>
      <c r="F2070" s="553"/>
      <c r="G2070" s="553"/>
      <c r="H2070" s="553"/>
      <c r="I2070" s="553"/>
      <c r="J2070" s="41">
        <v>954</v>
      </c>
      <c r="K2070" s="41">
        <v>1193</v>
      </c>
      <c r="L2070" s="574">
        <v>1372</v>
      </c>
      <c r="M2070" s="41">
        <v>1671</v>
      </c>
      <c r="N2070" s="574">
        <v>1870</v>
      </c>
      <c r="O2070" s="554"/>
      <c r="P2070" s="554"/>
      <c r="Q2070" s="554"/>
      <c r="R2070" s="554"/>
      <c r="S2070" s="554"/>
      <c r="T2070" s="555"/>
    </row>
    <row r="2071" spans="1:20" ht="2.5499999999999998" customHeight="1">
      <c r="A2071" s="481"/>
      <c r="B2071" s="549">
        <v>1200</v>
      </c>
      <c r="C2071" s="549"/>
      <c r="D2071" s="550">
        <v>30</v>
      </c>
      <c r="E2071" s="551">
        <v>284</v>
      </c>
      <c r="F2071" s="553">
        <v>354</v>
      </c>
      <c r="G2071" s="553">
        <v>480</v>
      </c>
      <c r="H2071" s="553">
        <v>543</v>
      </c>
      <c r="I2071" s="553">
        <v>628</v>
      </c>
      <c r="J2071" s="553">
        <v>753</v>
      </c>
      <c r="K2071" s="553">
        <v>942</v>
      </c>
      <c r="L2071" s="574"/>
      <c r="M2071" s="553">
        <v>1319</v>
      </c>
      <c r="N2071" s="574"/>
      <c r="O2071" s="554" t="s">
        <v>21</v>
      </c>
      <c r="P2071" s="554" t="s">
        <v>21</v>
      </c>
      <c r="Q2071" s="554" t="s">
        <v>21</v>
      </c>
      <c r="R2071" s="554" t="s">
        <v>21</v>
      </c>
      <c r="S2071" s="554" t="s">
        <v>21</v>
      </c>
      <c r="T2071" s="555" t="s">
        <v>21</v>
      </c>
    </row>
    <row r="2072" spans="1:20" ht="9" customHeight="1">
      <c r="A2072" s="481"/>
      <c r="B2072" s="549"/>
      <c r="C2072" s="549"/>
      <c r="D2072" s="550"/>
      <c r="E2072" s="551"/>
      <c r="F2072" s="553"/>
      <c r="G2072" s="553"/>
      <c r="H2072" s="553"/>
      <c r="I2072" s="553"/>
      <c r="J2072" s="553"/>
      <c r="K2072" s="553"/>
      <c r="L2072" s="41">
        <v>1083</v>
      </c>
      <c r="M2072" s="553"/>
      <c r="N2072" s="41">
        <v>1476</v>
      </c>
      <c r="O2072" s="554"/>
      <c r="P2072" s="554"/>
      <c r="Q2072" s="554"/>
      <c r="R2072" s="554"/>
      <c r="S2072" s="554"/>
      <c r="T2072" s="555"/>
    </row>
    <row r="2073" spans="1:20" ht="11.55" customHeight="1">
      <c r="A2073" s="45"/>
      <c r="B2073" s="556">
        <v>1000</v>
      </c>
      <c r="C2073" s="556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46">
        <v>1800</v>
      </c>
      <c r="C2074" s="546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47" t="s">
        <v>216</v>
      </c>
      <c r="L2074" s="547" t="s">
        <v>217</v>
      </c>
      <c r="M2074" s="547" t="s">
        <v>218</v>
      </c>
      <c r="N2074" s="547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81"/>
      <c r="B2075" s="549">
        <v>1500</v>
      </c>
      <c r="C2075" s="549"/>
      <c r="D2075" s="550">
        <v>33</v>
      </c>
      <c r="E2075" s="551">
        <v>313</v>
      </c>
      <c r="F2075" s="553">
        <v>390</v>
      </c>
      <c r="G2075" s="553">
        <v>528</v>
      </c>
      <c r="H2075" s="553">
        <v>597</v>
      </c>
      <c r="I2075" s="553">
        <v>691</v>
      </c>
      <c r="J2075" s="553">
        <v>829</v>
      </c>
      <c r="K2075" s="548"/>
      <c r="L2075" s="548"/>
      <c r="M2075" s="548"/>
      <c r="N2075" s="548"/>
      <c r="O2075" s="554" t="s">
        <v>21</v>
      </c>
      <c r="P2075" s="554" t="s">
        <v>21</v>
      </c>
      <c r="Q2075" s="554" t="s">
        <v>21</v>
      </c>
      <c r="R2075" s="554" t="s">
        <v>21</v>
      </c>
      <c r="S2075" s="554" t="s">
        <v>21</v>
      </c>
      <c r="T2075" s="555" t="s">
        <v>21</v>
      </c>
    </row>
    <row r="2076" spans="1:20" ht="9" customHeight="1">
      <c r="A2076" s="481"/>
      <c r="B2076" s="549"/>
      <c r="C2076" s="549"/>
      <c r="D2076" s="550"/>
      <c r="E2076" s="551"/>
      <c r="F2076" s="553"/>
      <c r="G2076" s="553"/>
      <c r="H2076" s="553"/>
      <c r="I2076" s="553"/>
      <c r="J2076" s="553"/>
      <c r="K2076" s="41">
        <v>1036</v>
      </c>
      <c r="L2076" s="41">
        <v>1192</v>
      </c>
      <c r="M2076" s="41">
        <v>1451</v>
      </c>
      <c r="N2076" s="41">
        <v>1624</v>
      </c>
      <c r="O2076" s="554"/>
      <c r="P2076" s="554"/>
      <c r="Q2076" s="554"/>
      <c r="R2076" s="554"/>
      <c r="S2076" s="554"/>
      <c r="T2076" s="555"/>
    </row>
    <row r="2077" spans="1:20" ht="9.3000000000000007" customHeight="1">
      <c r="A2077" s="1"/>
      <c r="B2077" s="549">
        <v>1200</v>
      </c>
      <c r="C2077" s="549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56">
        <v>1000</v>
      </c>
      <c r="C2078" s="556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46">
        <v>1800</v>
      </c>
      <c r="C2079" s="546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47" t="s">
        <v>220</v>
      </c>
      <c r="M2079" s="10" t="s">
        <v>221</v>
      </c>
      <c r="N2079" s="547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81"/>
      <c r="B2080" s="549">
        <v>1500</v>
      </c>
      <c r="C2080" s="549"/>
      <c r="D2080" s="550">
        <v>30</v>
      </c>
      <c r="E2080" s="551">
        <v>284</v>
      </c>
      <c r="F2080" s="553">
        <v>354</v>
      </c>
      <c r="G2080" s="553">
        <v>480</v>
      </c>
      <c r="H2080" s="553">
        <v>543</v>
      </c>
      <c r="I2080" s="553">
        <v>628</v>
      </c>
      <c r="J2080" s="553">
        <v>753</v>
      </c>
      <c r="K2080" s="553">
        <v>942</v>
      </c>
      <c r="L2080" s="548"/>
      <c r="M2080" s="553">
        <v>1319</v>
      </c>
      <c r="N2080" s="548"/>
      <c r="O2080" s="554" t="s">
        <v>21</v>
      </c>
      <c r="P2080" s="554" t="s">
        <v>21</v>
      </c>
      <c r="Q2080" s="554" t="s">
        <v>21</v>
      </c>
      <c r="R2080" s="554" t="s">
        <v>21</v>
      </c>
      <c r="S2080" s="554" t="s">
        <v>21</v>
      </c>
      <c r="T2080" s="555" t="s">
        <v>21</v>
      </c>
    </row>
    <row r="2081" spans="1:20" ht="9" customHeight="1">
      <c r="A2081" s="481"/>
      <c r="B2081" s="549"/>
      <c r="C2081" s="549"/>
      <c r="D2081" s="550"/>
      <c r="E2081" s="551"/>
      <c r="F2081" s="553"/>
      <c r="G2081" s="553"/>
      <c r="H2081" s="553"/>
      <c r="I2081" s="553"/>
      <c r="J2081" s="553"/>
      <c r="K2081" s="553"/>
      <c r="L2081" s="41">
        <v>1083</v>
      </c>
      <c r="M2081" s="553"/>
      <c r="N2081" s="41">
        <v>1476</v>
      </c>
      <c r="O2081" s="554"/>
      <c r="P2081" s="554"/>
      <c r="Q2081" s="554"/>
      <c r="R2081" s="554"/>
      <c r="S2081" s="554"/>
      <c r="T2081" s="555"/>
    </row>
    <row r="2082" spans="1:20" ht="9.3000000000000007" customHeight="1">
      <c r="A2082" s="1"/>
      <c r="B2082" s="549">
        <v>1200</v>
      </c>
      <c r="C2082" s="549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56">
        <v>1000</v>
      </c>
      <c r="C2083" s="556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46">
        <v>1800</v>
      </c>
      <c r="C2084" s="546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49">
        <v>1500</v>
      </c>
      <c r="C2085" s="549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49">
        <v>1200</v>
      </c>
      <c r="C2086" s="549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49">
        <v>1000</v>
      </c>
      <c r="C2087" s="549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46">
        <v>1800</v>
      </c>
      <c r="C2088" s="546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49">
        <v>1500</v>
      </c>
      <c r="C2089" s="549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49">
        <v>1200</v>
      </c>
      <c r="C2090" s="549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56">
        <v>1000</v>
      </c>
      <c r="C2091" s="556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46">
        <v>1800</v>
      </c>
      <c r="C2092" s="546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49">
        <v>1500</v>
      </c>
      <c r="C2093" s="549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49">
        <v>1200</v>
      </c>
      <c r="C2094" s="549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56">
        <v>1000</v>
      </c>
      <c r="C2095" s="556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46">
        <v>1800</v>
      </c>
      <c r="C2096" s="546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49">
        <v>1500</v>
      </c>
      <c r="C2097" s="549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49">
        <v>1200</v>
      </c>
      <c r="C2098" s="549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56">
        <v>1000</v>
      </c>
      <c r="C2099" s="556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46">
        <v>1800</v>
      </c>
      <c r="C2100" s="546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49">
        <v>1500</v>
      </c>
      <c r="C2101" s="549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49">
        <v>1200</v>
      </c>
      <c r="C2102" s="549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49">
        <v>1000</v>
      </c>
      <c r="C2103" s="549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49" t="s">
        <v>455</v>
      </c>
      <c r="B2105" s="449"/>
      <c r="C2105" s="449"/>
      <c r="D2105" s="449"/>
      <c r="E2105" s="449"/>
      <c r="F2105" s="449"/>
      <c r="G2105" s="449"/>
      <c r="H2105" s="449"/>
      <c r="I2105" s="449"/>
      <c r="J2105" s="449"/>
      <c r="K2105" s="449"/>
      <c r="L2105" s="449"/>
      <c r="M2105" s="449"/>
    </row>
    <row r="2106" spans="1:20" ht="12.3" customHeight="1">
      <c r="A2106" s="478" t="s">
        <v>69</v>
      </c>
      <c r="B2106" s="454" t="s">
        <v>14</v>
      </c>
      <c r="C2106" s="455"/>
      <c r="D2106" s="455"/>
      <c r="E2106" s="455"/>
      <c r="F2106" s="455"/>
      <c r="G2106" s="455"/>
      <c r="H2106" s="455"/>
      <c r="I2106" s="455"/>
      <c r="J2106" s="455"/>
      <c r="K2106" s="455"/>
    </row>
    <row r="2107" spans="1:20" ht="12" customHeight="1">
      <c r="A2107" s="479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56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57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57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57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57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57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57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61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58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59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59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59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59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59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59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59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59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59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59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59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59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59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59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59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60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62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63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63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63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63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63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63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63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63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63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63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63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63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63"/>
    </row>
    <row r="2148" spans="1:20" ht="33.75" customHeight="1">
      <c r="A2148" s="449" t="s">
        <v>455</v>
      </c>
      <c r="B2148" s="449"/>
      <c r="C2148" s="449"/>
      <c r="D2148" s="449"/>
      <c r="E2148" s="449"/>
      <c r="F2148" s="449"/>
      <c r="G2148" s="449"/>
      <c r="H2148" s="449"/>
      <c r="I2148" s="449"/>
      <c r="J2148" s="449"/>
      <c r="K2148" s="449"/>
      <c r="L2148" s="449"/>
      <c r="M2148" s="449"/>
      <c r="N2148" s="449"/>
      <c r="O2148" s="449"/>
      <c r="P2148" s="449"/>
      <c r="Q2148" s="449"/>
      <c r="R2148" s="449"/>
      <c r="S2148" s="449"/>
      <c r="T2148" s="449"/>
    </row>
    <row r="2149" spans="1:20" ht="12.3" customHeight="1">
      <c r="A2149" s="478" t="s">
        <v>69</v>
      </c>
      <c r="B2149" s="454" t="s">
        <v>14</v>
      </c>
      <c r="C2149" s="455"/>
      <c r="D2149" s="455"/>
      <c r="E2149" s="455"/>
      <c r="F2149" s="455"/>
      <c r="G2149" s="455"/>
      <c r="H2149" s="455"/>
      <c r="I2149" s="455"/>
      <c r="J2149" s="455"/>
      <c r="K2149" s="455"/>
      <c r="L2149" s="455"/>
      <c r="M2149" s="455"/>
      <c r="N2149" s="455"/>
      <c r="O2149" s="455"/>
      <c r="P2149" s="455"/>
      <c r="Q2149" s="455"/>
      <c r="R2149" s="455"/>
    </row>
    <row r="2150" spans="1:20" ht="12" customHeight="1">
      <c r="A2150" s="479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56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57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57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57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57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57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57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61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58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59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59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59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59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59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59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59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59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59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59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59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59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59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59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59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60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62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63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63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63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63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63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63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63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63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63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63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63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63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63"/>
    </row>
    <row r="2191" spans="1:23" ht="44.55" customHeight="1">
      <c r="A2191" s="449" t="s">
        <v>458</v>
      </c>
      <c r="B2191" s="449"/>
      <c r="C2191" s="449"/>
      <c r="D2191" s="449"/>
      <c r="E2191" s="449"/>
      <c r="F2191" s="449"/>
      <c r="G2191" s="449"/>
      <c r="H2191" s="449"/>
      <c r="I2191" s="449"/>
      <c r="J2191" s="449"/>
      <c r="K2191" s="449"/>
      <c r="L2191" s="449"/>
      <c r="M2191" s="449"/>
      <c r="N2191" s="449"/>
      <c r="O2191" s="449"/>
      <c r="P2191" s="449"/>
      <c r="Q2191" s="449"/>
      <c r="R2191" s="449"/>
      <c r="S2191" s="449"/>
      <c r="T2191" s="449"/>
      <c r="U2191" s="449"/>
      <c r="V2191" s="449"/>
      <c r="W2191" s="449"/>
    </row>
    <row r="2192" spans="1:23" ht="12.3" customHeight="1">
      <c r="A2192" s="450" t="s">
        <v>69</v>
      </c>
      <c r="B2192" s="450"/>
      <c r="C2192" s="451"/>
      <c r="D2192" s="454" t="s">
        <v>14</v>
      </c>
      <c r="E2192" s="455"/>
      <c r="F2192" s="455"/>
      <c r="G2192" s="455"/>
      <c r="H2192" s="455"/>
      <c r="I2192" s="455"/>
      <c r="J2192" s="455"/>
      <c r="K2192" s="455"/>
      <c r="L2192" s="455"/>
      <c r="M2192" s="455"/>
      <c r="N2192" s="455"/>
      <c r="O2192" s="455"/>
      <c r="P2192" s="455"/>
      <c r="Q2192" s="455"/>
      <c r="R2192" s="455"/>
      <c r="S2192" s="455"/>
      <c r="T2192" s="455"/>
      <c r="U2192" s="455"/>
      <c r="V2192" s="455"/>
    </row>
    <row r="2193" spans="1:22" ht="9" customHeight="1">
      <c r="A2193" s="452"/>
      <c r="B2193" s="452"/>
      <c r="C2193" s="453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58" t="s">
        <v>183</v>
      </c>
      <c r="B2194" s="558"/>
      <c r="C2194" s="558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60" t="s">
        <v>3</v>
      </c>
      <c r="B2195" s="560"/>
      <c r="C2195" s="560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60" t="s">
        <v>5</v>
      </c>
      <c r="B2196" s="560"/>
      <c r="C2196" s="560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71" t="s">
        <v>7</v>
      </c>
      <c r="B2197" s="571"/>
      <c r="C2197" s="571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67" t="s">
        <v>2</v>
      </c>
      <c r="C2198" s="567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65" t="s">
        <v>3</v>
      </c>
      <c r="C2199" s="565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65" t="s">
        <v>5</v>
      </c>
      <c r="C2200" s="565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66" t="s">
        <v>7</v>
      </c>
      <c r="C2201" s="566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67" t="s">
        <v>2</v>
      </c>
      <c r="C2202" s="567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65" t="s">
        <v>3</v>
      </c>
      <c r="C2203" s="565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65" t="s">
        <v>5</v>
      </c>
      <c r="C2204" s="565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66" t="s">
        <v>7</v>
      </c>
      <c r="C2205" s="566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67" t="s">
        <v>2</v>
      </c>
      <c r="C2206" s="567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65" t="s">
        <v>3</v>
      </c>
      <c r="C2207" s="565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65" t="s">
        <v>5</v>
      </c>
      <c r="C2208" s="565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66" t="s">
        <v>7</v>
      </c>
      <c r="C2209" s="566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67" t="s">
        <v>2</v>
      </c>
      <c r="C2210" s="567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65" t="s">
        <v>3</v>
      </c>
      <c r="C2211" s="565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65" t="s">
        <v>5</v>
      </c>
      <c r="C2212" s="565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66" t="s">
        <v>7</v>
      </c>
      <c r="C2213" s="566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58" t="s">
        <v>188</v>
      </c>
      <c r="B2214" s="558"/>
      <c r="C2214" s="558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60" t="s">
        <v>3</v>
      </c>
      <c r="B2215" s="560"/>
      <c r="C2215" s="560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60" t="s">
        <v>5</v>
      </c>
      <c r="B2216" s="560"/>
      <c r="C2216" s="560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71" t="s">
        <v>7</v>
      </c>
      <c r="B2217" s="571"/>
      <c r="C2217" s="571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67" t="s">
        <v>2</v>
      </c>
      <c r="C2218" s="567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65" t="s">
        <v>3</v>
      </c>
      <c r="C2219" s="565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65" t="s">
        <v>5</v>
      </c>
      <c r="C2220" s="565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66" t="s">
        <v>7</v>
      </c>
      <c r="C2221" s="566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67" t="s">
        <v>2</v>
      </c>
      <c r="C2222" s="567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65" t="s">
        <v>3</v>
      </c>
      <c r="C2223" s="565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65" t="s">
        <v>5</v>
      </c>
      <c r="C2224" s="565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66" t="s">
        <v>7</v>
      </c>
      <c r="C2225" s="566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58" t="s">
        <v>459</v>
      </c>
      <c r="B2226" s="558"/>
      <c r="C2226" s="558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60" t="s">
        <v>3</v>
      </c>
      <c r="B2227" s="560"/>
      <c r="C2227" s="560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60" t="s">
        <v>5</v>
      </c>
      <c r="B2228" s="560"/>
      <c r="C2228" s="560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71" t="s">
        <v>7</v>
      </c>
      <c r="B2229" s="571"/>
      <c r="C2229" s="571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58" t="s">
        <v>460</v>
      </c>
      <c r="B2230" s="558"/>
      <c r="C2230" s="558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60" t="s">
        <v>3</v>
      </c>
      <c r="B2231" s="560"/>
      <c r="C2231" s="560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60" t="s">
        <v>5</v>
      </c>
      <c r="B2232" s="560"/>
      <c r="C2232" s="560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71" t="s">
        <v>7</v>
      </c>
      <c r="B2233" s="571"/>
      <c r="C2233" s="571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67" t="s">
        <v>2</v>
      </c>
      <c r="C2234" s="567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65" t="s">
        <v>3</v>
      </c>
      <c r="C2235" s="565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65" t="s">
        <v>5</v>
      </c>
      <c r="C2236" s="565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66" t="s">
        <v>7</v>
      </c>
      <c r="C2237" s="566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67" t="s">
        <v>2</v>
      </c>
      <c r="C2238" s="567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65" t="s">
        <v>3</v>
      </c>
      <c r="C2239" s="565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65" t="s">
        <v>5</v>
      </c>
      <c r="C2240" s="565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66" t="s">
        <v>7</v>
      </c>
      <c r="C2241" s="566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67" t="s">
        <v>2</v>
      </c>
      <c r="C2242" s="567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65" t="s">
        <v>3</v>
      </c>
      <c r="C2243" s="565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65" t="s">
        <v>5</v>
      </c>
      <c r="C2244" s="565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66" t="s">
        <v>7</v>
      </c>
      <c r="C2245" s="566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67" t="s">
        <v>2</v>
      </c>
      <c r="C2246" s="567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65" t="s">
        <v>3</v>
      </c>
      <c r="C2247" s="565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65" t="s">
        <v>5</v>
      </c>
      <c r="C2248" s="565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65" t="s">
        <v>7</v>
      </c>
      <c r="C2249" s="565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58" t="s">
        <v>461</v>
      </c>
      <c r="B2250" s="558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62" t="s">
        <v>3</v>
      </c>
      <c r="B2251" s="562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63" t="s">
        <v>5</v>
      </c>
      <c r="B2252" s="563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64" t="s">
        <v>7</v>
      </c>
      <c r="B2253" s="564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58" t="s">
        <v>462</v>
      </c>
      <c r="B2254" s="558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62" t="s">
        <v>3</v>
      </c>
      <c r="B2255" s="562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63" t="s">
        <v>5</v>
      </c>
      <c r="B2256" s="563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64" t="s">
        <v>7</v>
      </c>
      <c r="B2257" s="564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58" t="s">
        <v>463</v>
      </c>
      <c r="B2258" s="558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62" t="s">
        <v>3</v>
      </c>
      <c r="B2259" s="562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63" t="s">
        <v>5</v>
      </c>
      <c r="B2260" s="563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64" t="s">
        <v>7</v>
      </c>
      <c r="B2261" s="564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58" t="s">
        <v>464</v>
      </c>
      <c r="B2262" s="558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62" t="s">
        <v>3</v>
      </c>
      <c r="B2263" s="562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63" t="s">
        <v>5</v>
      </c>
      <c r="B2264" s="563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63" t="s">
        <v>7</v>
      </c>
      <c r="B2265" s="563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49" t="s">
        <v>465</v>
      </c>
      <c r="B2267" s="449"/>
      <c r="C2267" s="449"/>
      <c r="D2267" s="449"/>
      <c r="E2267" s="449"/>
      <c r="F2267" s="449"/>
      <c r="G2267" s="449"/>
      <c r="H2267" s="449"/>
      <c r="I2267" s="449"/>
      <c r="J2267" s="449"/>
      <c r="K2267" s="449"/>
      <c r="L2267" s="449"/>
      <c r="M2267" s="449"/>
      <c r="N2267" s="449"/>
      <c r="O2267" s="449"/>
      <c r="P2267" s="449"/>
      <c r="Q2267" s="449"/>
      <c r="R2267" s="449"/>
      <c r="S2267" s="449"/>
      <c r="T2267" s="449"/>
      <c r="U2267" s="449"/>
      <c r="V2267" s="449"/>
      <c r="W2267" s="449"/>
    </row>
    <row r="2268" spans="1:23" ht="12.3" customHeight="1">
      <c r="A2268" s="450" t="s">
        <v>69</v>
      </c>
      <c r="B2268" s="450"/>
      <c r="C2268" s="451"/>
      <c r="D2268" s="454" t="s">
        <v>14</v>
      </c>
      <c r="E2268" s="455"/>
      <c r="F2268" s="455"/>
      <c r="G2268" s="455"/>
      <c r="H2268" s="455"/>
      <c r="I2268" s="455"/>
      <c r="J2268" s="455"/>
      <c r="K2268" s="455"/>
      <c r="L2268" s="455"/>
      <c r="M2268" s="455"/>
      <c r="N2268" s="455"/>
      <c r="O2268" s="455"/>
      <c r="P2268" s="455"/>
      <c r="Q2268" s="455"/>
      <c r="R2268" s="455"/>
      <c r="S2268" s="455"/>
      <c r="T2268" s="455"/>
      <c r="U2268" s="455"/>
      <c r="V2268" s="455"/>
    </row>
    <row r="2269" spans="1:23" ht="9" customHeight="1">
      <c r="A2269" s="452"/>
      <c r="B2269" s="452"/>
      <c r="C2269" s="453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58" t="s">
        <v>183</v>
      </c>
      <c r="B2270" s="558"/>
      <c r="C2270" s="558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60" t="s">
        <v>3</v>
      </c>
      <c r="B2271" s="560"/>
      <c r="C2271" s="560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60" t="s">
        <v>5</v>
      </c>
      <c r="B2272" s="560"/>
      <c r="C2272" s="560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71" t="s">
        <v>7</v>
      </c>
      <c r="B2273" s="571"/>
      <c r="C2273" s="571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67" t="s">
        <v>2</v>
      </c>
      <c r="C2274" s="567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65" t="s">
        <v>3</v>
      </c>
      <c r="C2275" s="565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65" t="s">
        <v>5</v>
      </c>
      <c r="C2276" s="565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66" t="s">
        <v>7</v>
      </c>
      <c r="C2277" s="566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67" t="s">
        <v>2</v>
      </c>
      <c r="C2278" s="567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65" t="s">
        <v>3</v>
      </c>
      <c r="C2279" s="565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65" t="s">
        <v>5</v>
      </c>
      <c r="C2280" s="565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66" t="s">
        <v>7</v>
      </c>
      <c r="C2281" s="566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67" t="s">
        <v>2</v>
      </c>
      <c r="C2282" s="567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65" t="s">
        <v>3</v>
      </c>
      <c r="C2283" s="565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65" t="s">
        <v>5</v>
      </c>
      <c r="C2284" s="565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66" t="s">
        <v>7</v>
      </c>
      <c r="C2285" s="566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67" t="s">
        <v>2</v>
      </c>
      <c r="C2286" s="567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65" t="s">
        <v>3</v>
      </c>
      <c r="C2287" s="565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65" t="s">
        <v>5</v>
      </c>
      <c r="C2288" s="565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66" t="s">
        <v>7</v>
      </c>
      <c r="C2289" s="566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58" t="s">
        <v>188</v>
      </c>
      <c r="B2290" s="558"/>
      <c r="C2290" s="558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60" t="s">
        <v>3</v>
      </c>
      <c r="B2291" s="560"/>
      <c r="C2291" s="560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60" t="s">
        <v>5</v>
      </c>
      <c r="B2292" s="560"/>
      <c r="C2292" s="560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71" t="s">
        <v>7</v>
      </c>
      <c r="B2293" s="571"/>
      <c r="C2293" s="571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67" t="s">
        <v>2</v>
      </c>
      <c r="C2294" s="567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65" t="s">
        <v>3</v>
      </c>
      <c r="C2295" s="565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65" t="s">
        <v>5</v>
      </c>
      <c r="C2296" s="565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66" t="s">
        <v>7</v>
      </c>
      <c r="C2297" s="566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67" t="s">
        <v>2</v>
      </c>
      <c r="C2298" s="567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65" t="s">
        <v>3</v>
      </c>
      <c r="C2299" s="565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65" t="s">
        <v>5</v>
      </c>
      <c r="C2300" s="565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66" t="s">
        <v>7</v>
      </c>
      <c r="C2301" s="566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58" t="s">
        <v>459</v>
      </c>
      <c r="B2302" s="558"/>
      <c r="C2302" s="558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60" t="s">
        <v>3</v>
      </c>
      <c r="B2303" s="560"/>
      <c r="C2303" s="560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60" t="s">
        <v>5</v>
      </c>
      <c r="B2304" s="560"/>
      <c r="C2304" s="560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71" t="s">
        <v>7</v>
      </c>
      <c r="B2305" s="571"/>
      <c r="C2305" s="571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58" t="s">
        <v>460</v>
      </c>
      <c r="B2306" s="558"/>
      <c r="C2306" s="558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60" t="s">
        <v>3</v>
      </c>
      <c r="B2307" s="560"/>
      <c r="C2307" s="560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60" t="s">
        <v>5</v>
      </c>
      <c r="B2308" s="560"/>
      <c r="C2308" s="560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71" t="s">
        <v>7</v>
      </c>
      <c r="B2309" s="571"/>
      <c r="C2309" s="571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67" t="s">
        <v>2</v>
      </c>
      <c r="C2310" s="567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65" t="s">
        <v>3</v>
      </c>
      <c r="C2311" s="565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65" t="s">
        <v>5</v>
      </c>
      <c r="C2312" s="565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66" t="s">
        <v>7</v>
      </c>
      <c r="C2313" s="566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67" t="s">
        <v>2</v>
      </c>
      <c r="C2314" s="567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65" t="s">
        <v>3</v>
      </c>
      <c r="C2315" s="565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65" t="s">
        <v>5</v>
      </c>
      <c r="C2316" s="565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66" t="s">
        <v>7</v>
      </c>
      <c r="C2317" s="566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67" t="s">
        <v>2</v>
      </c>
      <c r="C2318" s="567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65" t="s">
        <v>3</v>
      </c>
      <c r="C2319" s="565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65" t="s">
        <v>5</v>
      </c>
      <c r="C2320" s="565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66" t="s">
        <v>7</v>
      </c>
      <c r="C2321" s="566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67" t="s">
        <v>2</v>
      </c>
      <c r="C2322" s="567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65" t="s">
        <v>3</v>
      </c>
      <c r="C2323" s="565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65" t="s">
        <v>5</v>
      </c>
      <c r="C2324" s="565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65" t="s">
        <v>7</v>
      </c>
      <c r="C2325" s="565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58" t="s">
        <v>461</v>
      </c>
      <c r="B2326" s="558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62" t="s">
        <v>3</v>
      </c>
      <c r="B2327" s="562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63" t="s">
        <v>5</v>
      </c>
      <c r="B2328" s="563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64" t="s">
        <v>7</v>
      </c>
      <c r="B2329" s="564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58" t="s">
        <v>462</v>
      </c>
      <c r="B2330" s="558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62" t="s">
        <v>3</v>
      </c>
      <c r="B2331" s="562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63" t="s">
        <v>5</v>
      </c>
      <c r="B2332" s="563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64" t="s">
        <v>7</v>
      </c>
      <c r="B2333" s="564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58" t="s">
        <v>463</v>
      </c>
      <c r="B2334" s="558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62" t="s">
        <v>3</v>
      </c>
      <c r="B2335" s="562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63" t="s">
        <v>5</v>
      </c>
      <c r="B2336" s="563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64" t="s">
        <v>7</v>
      </c>
      <c r="B2337" s="564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58" t="s">
        <v>464</v>
      </c>
      <c r="B2338" s="558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62" t="s">
        <v>3</v>
      </c>
      <c r="B2339" s="562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63" t="s">
        <v>5</v>
      </c>
      <c r="B2340" s="563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63" t="s">
        <v>7</v>
      </c>
      <c r="B2341" s="563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49" t="s">
        <v>466</v>
      </c>
      <c r="B2343" s="449"/>
      <c r="C2343" s="449"/>
      <c r="D2343" s="449"/>
      <c r="E2343" s="449"/>
      <c r="F2343" s="449"/>
      <c r="G2343" s="449"/>
      <c r="H2343" s="449"/>
      <c r="I2343" s="449"/>
      <c r="J2343" s="449"/>
      <c r="K2343" s="449"/>
      <c r="L2343" s="449"/>
      <c r="M2343" s="449"/>
      <c r="N2343" s="449"/>
      <c r="O2343" s="449"/>
      <c r="P2343" s="449"/>
      <c r="Q2343" s="449"/>
      <c r="R2343" s="449"/>
      <c r="S2343" s="449"/>
      <c r="T2343" s="449"/>
      <c r="U2343" s="449"/>
      <c r="V2343" s="449"/>
      <c r="W2343" s="449"/>
    </row>
    <row r="2344" spans="1:23" ht="12.3" customHeight="1">
      <c r="A2344" s="450" t="s">
        <v>69</v>
      </c>
      <c r="B2344" s="450"/>
      <c r="C2344" s="451"/>
      <c r="D2344" s="454" t="s">
        <v>14</v>
      </c>
      <c r="E2344" s="455"/>
      <c r="F2344" s="455"/>
      <c r="G2344" s="455"/>
      <c r="H2344" s="455"/>
      <c r="I2344" s="455"/>
      <c r="J2344" s="455"/>
      <c r="K2344" s="455"/>
      <c r="L2344" s="455"/>
      <c r="M2344" s="455"/>
      <c r="N2344" s="455"/>
      <c r="O2344" s="455"/>
      <c r="P2344" s="455"/>
      <c r="Q2344" s="455"/>
      <c r="R2344" s="455"/>
      <c r="S2344" s="455"/>
      <c r="T2344" s="455"/>
      <c r="U2344" s="455"/>
      <c r="V2344" s="455"/>
    </row>
    <row r="2345" spans="1:23" ht="9" customHeight="1">
      <c r="A2345" s="452"/>
      <c r="B2345" s="452"/>
      <c r="C2345" s="453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58" t="s">
        <v>183</v>
      </c>
      <c r="B2346" s="558"/>
      <c r="C2346" s="558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60" t="s">
        <v>3</v>
      </c>
      <c r="B2347" s="560"/>
      <c r="C2347" s="560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60" t="s">
        <v>5</v>
      </c>
      <c r="B2348" s="560"/>
      <c r="C2348" s="560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71" t="s">
        <v>7</v>
      </c>
      <c r="B2349" s="571"/>
      <c r="C2349" s="571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67" t="s">
        <v>2</v>
      </c>
      <c r="C2350" s="567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65" t="s">
        <v>3</v>
      </c>
      <c r="C2351" s="565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65" t="s">
        <v>5</v>
      </c>
      <c r="C2352" s="565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66" t="s">
        <v>7</v>
      </c>
      <c r="C2353" s="566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67" t="s">
        <v>2</v>
      </c>
      <c r="C2354" s="567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65" t="s">
        <v>3</v>
      </c>
      <c r="C2355" s="565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65" t="s">
        <v>5</v>
      </c>
      <c r="C2356" s="565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66" t="s">
        <v>7</v>
      </c>
      <c r="C2357" s="566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67" t="s">
        <v>2</v>
      </c>
      <c r="C2358" s="567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65" t="s">
        <v>3</v>
      </c>
      <c r="C2359" s="565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65" t="s">
        <v>5</v>
      </c>
      <c r="C2360" s="565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66" t="s">
        <v>7</v>
      </c>
      <c r="C2361" s="566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67" t="s">
        <v>2</v>
      </c>
      <c r="C2362" s="567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65" t="s">
        <v>3</v>
      </c>
      <c r="C2363" s="565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65" t="s">
        <v>5</v>
      </c>
      <c r="C2364" s="565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66" t="s">
        <v>7</v>
      </c>
      <c r="C2365" s="566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58" t="s">
        <v>188</v>
      </c>
      <c r="B2366" s="558"/>
      <c r="C2366" s="558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60" t="s">
        <v>3</v>
      </c>
      <c r="B2367" s="560"/>
      <c r="C2367" s="560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60" t="s">
        <v>5</v>
      </c>
      <c r="B2368" s="560"/>
      <c r="C2368" s="560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71" t="s">
        <v>7</v>
      </c>
      <c r="B2369" s="571"/>
      <c r="C2369" s="571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67" t="s">
        <v>2</v>
      </c>
      <c r="C2370" s="567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65" t="s">
        <v>3</v>
      </c>
      <c r="C2371" s="565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65" t="s">
        <v>5</v>
      </c>
      <c r="C2372" s="565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66" t="s">
        <v>7</v>
      </c>
      <c r="C2373" s="566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67" t="s">
        <v>2</v>
      </c>
      <c r="C2374" s="567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65" t="s">
        <v>3</v>
      </c>
      <c r="C2375" s="565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65" t="s">
        <v>5</v>
      </c>
      <c r="C2376" s="565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66" t="s">
        <v>7</v>
      </c>
      <c r="C2377" s="566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58" t="s">
        <v>459</v>
      </c>
      <c r="B2378" s="558"/>
      <c r="C2378" s="558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60" t="s">
        <v>3</v>
      </c>
      <c r="B2379" s="560"/>
      <c r="C2379" s="560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60" t="s">
        <v>5</v>
      </c>
      <c r="B2380" s="560"/>
      <c r="C2380" s="560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71" t="s">
        <v>7</v>
      </c>
      <c r="B2381" s="571"/>
      <c r="C2381" s="571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58" t="s">
        <v>460</v>
      </c>
      <c r="B2382" s="558"/>
      <c r="C2382" s="558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60" t="s">
        <v>3</v>
      </c>
      <c r="B2383" s="560"/>
      <c r="C2383" s="560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60" t="s">
        <v>5</v>
      </c>
      <c r="B2384" s="560"/>
      <c r="C2384" s="560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71" t="s">
        <v>7</v>
      </c>
      <c r="B2385" s="571"/>
      <c r="C2385" s="571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67" t="s">
        <v>2</v>
      </c>
      <c r="C2386" s="567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65" t="s">
        <v>3</v>
      </c>
      <c r="C2387" s="565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65" t="s">
        <v>5</v>
      </c>
      <c r="C2388" s="565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66" t="s">
        <v>7</v>
      </c>
      <c r="C2389" s="566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67" t="s">
        <v>2</v>
      </c>
      <c r="C2390" s="567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65" t="s">
        <v>3</v>
      </c>
      <c r="C2391" s="565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65" t="s">
        <v>5</v>
      </c>
      <c r="C2392" s="565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66" t="s">
        <v>7</v>
      </c>
      <c r="C2393" s="566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67" t="s">
        <v>2</v>
      </c>
      <c r="C2394" s="567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65" t="s">
        <v>3</v>
      </c>
      <c r="C2395" s="565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65" t="s">
        <v>5</v>
      </c>
      <c r="C2396" s="565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66" t="s">
        <v>7</v>
      </c>
      <c r="C2397" s="566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67" t="s">
        <v>2</v>
      </c>
      <c r="C2398" s="567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65" t="s">
        <v>3</v>
      </c>
      <c r="C2399" s="565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65" t="s">
        <v>5</v>
      </c>
      <c r="C2400" s="565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65" t="s">
        <v>7</v>
      </c>
      <c r="C2401" s="565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58" t="s">
        <v>461</v>
      </c>
      <c r="B2402" s="558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62" t="s">
        <v>3</v>
      </c>
      <c r="B2403" s="562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63" t="s">
        <v>5</v>
      </c>
      <c r="B2404" s="563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64" t="s">
        <v>7</v>
      </c>
      <c r="B2405" s="564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58" t="s">
        <v>462</v>
      </c>
      <c r="B2406" s="558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62" t="s">
        <v>3</v>
      </c>
      <c r="B2407" s="562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63" t="s">
        <v>5</v>
      </c>
      <c r="B2408" s="563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64" t="s">
        <v>7</v>
      </c>
      <c r="B2409" s="564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58" t="s">
        <v>463</v>
      </c>
      <c r="B2410" s="558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62" t="s">
        <v>3</v>
      </c>
      <c r="B2411" s="562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63" t="s">
        <v>5</v>
      </c>
      <c r="B2412" s="563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64" t="s">
        <v>7</v>
      </c>
      <c r="B2413" s="564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58" t="s">
        <v>464</v>
      </c>
      <c r="B2414" s="558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62" t="s">
        <v>3</v>
      </c>
      <c r="B2415" s="562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63" t="s">
        <v>5</v>
      </c>
      <c r="B2416" s="563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63" t="s">
        <v>7</v>
      </c>
      <c r="B2417" s="563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49" t="s">
        <v>467</v>
      </c>
      <c r="B2419" s="449"/>
      <c r="C2419" s="449"/>
      <c r="D2419" s="449"/>
      <c r="E2419" s="449"/>
      <c r="F2419" s="449"/>
      <c r="G2419" s="449"/>
      <c r="H2419" s="449"/>
      <c r="I2419" s="449"/>
      <c r="J2419" s="449"/>
      <c r="K2419" s="449"/>
      <c r="L2419" s="449"/>
      <c r="M2419" s="449"/>
      <c r="N2419" s="449"/>
      <c r="O2419" s="449"/>
      <c r="P2419" s="449"/>
      <c r="Q2419" s="449"/>
      <c r="R2419" s="449"/>
      <c r="S2419" s="449"/>
      <c r="T2419" s="449"/>
      <c r="U2419" s="449"/>
      <c r="V2419" s="449"/>
      <c r="W2419" s="449"/>
    </row>
    <row r="2420" spans="1:23" ht="12.3" customHeight="1">
      <c r="A2420" s="450" t="s">
        <v>69</v>
      </c>
      <c r="B2420" s="450"/>
      <c r="C2420" s="451"/>
      <c r="D2420" s="454" t="s">
        <v>14</v>
      </c>
      <c r="E2420" s="455"/>
      <c r="F2420" s="455"/>
      <c r="G2420" s="455"/>
      <c r="H2420" s="455"/>
      <c r="I2420" s="455"/>
      <c r="J2420" s="455"/>
      <c r="K2420" s="455"/>
      <c r="L2420" s="455"/>
      <c r="M2420" s="455"/>
      <c r="N2420" s="455"/>
      <c r="O2420" s="455"/>
      <c r="P2420" s="455"/>
      <c r="Q2420" s="455"/>
      <c r="R2420" s="455"/>
      <c r="S2420" s="455"/>
      <c r="T2420" s="455"/>
      <c r="U2420" s="455"/>
      <c r="V2420" s="455"/>
    </row>
    <row r="2421" spans="1:23" ht="9" customHeight="1">
      <c r="A2421" s="452"/>
      <c r="B2421" s="452"/>
      <c r="C2421" s="453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58" t="s">
        <v>183</v>
      </c>
      <c r="B2422" s="558"/>
      <c r="C2422" s="559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60" t="s">
        <v>3</v>
      </c>
      <c r="B2423" s="560"/>
      <c r="C2423" s="561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60" t="s">
        <v>5</v>
      </c>
      <c r="B2424" s="560"/>
      <c r="C2424" s="561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71" t="s">
        <v>7</v>
      </c>
      <c r="B2425" s="571"/>
      <c r="C2425" s="572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67" t="s">
        <v>2</v>
      </c>
      <c r="C2426" s="569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65" t="s">
        <v>3</v>
      </c>
      <c r="C2427" s="570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65" t="s">
        <v>5</v>
      </c>
      <c r="C2428" s="570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66" t="s">
        <v>7</v>
      </c>
      <c r="C2429" s="568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67" t="s">
        <v>2</v>
      </c>
      <c r="C2430" s="569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65" t="s">
        <v>3</v>
      </c>
      <c r="C2431" s="570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65" t="s">
        <v>5</v>
      </c>
      <c r="C2432" s="565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66" t="s">
        <v>7</v>
      </c>
      <c r="C2433" s="566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67" t="s">
        <v>2</v>
      </c>
      <c r="C2434" s="567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65" t="s">
        <v>3</v>
      </c>
      <c r="C2435" s="565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65" t="s">
        <v>5</v>
      </c>
      <c r="C2436" s="565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66" t="s">
        <v>7</v>
      </c>
      <c r="C2437" s="566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67" t="s">
        <v>2</v>
      </c>
      <c r="C2438" s="567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65" t="s">
        <v>3</v>
      </c>
      <c r="C2439" s="565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65" t="s">
        <v>5</v>
      </c>
      <c r="C2440" s="565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66" t="s">
        <v>7</v>
      </c>
      <c r="C2441" s="566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58" t="s">
        <v>188</v>
      </c>
      <c r="B2442" s="558"/>
      <c r="C2442" s="558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60" t="s">
        <v>3</v>
      </c>
      <c r="B2443" s="560"/>
      <c r="C2443" s="560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60" t="s">
        <v>5</v>
      </c>
      <c r="B2444" s="560"/>
      <c r="C2444" s="560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71" t="s">
        <v>7</v>
      </c>
      <c r="B2445" s="571"/>
      <c r="C2445" s="571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67" t="s">
        <v>2</v>
      </c>
      <c r="C2446" s="567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65" t="s">
        <v>3</v>
      </c>
      <c r="C2447" s="565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65" t="s">
        <v>5</v>
      </c>
      <c r="C2448" s="565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66" t="s">
        <v>7</v>
      </c>
      <c r="C2449" s="566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67" t="s">
        <v>2</v>
      </c>
      <c r="C2450" s="567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65" t="s">
        <v>3</v>
      </c>
      <c r="C2451" s="565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65" t="s">
        <v>5</v>
      </c>
      <c r="C2452" s="565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66" t="s">
        <v>7</v>
      </c>
      <c r="C2453" s="566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58" t="s">
        <v>459</v>
      </c>
      <c r="B2454" s="558"/>
      <c r="C2454" s="558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60" t="s">
        <v>3</v>
      </c>
      <c r="B2455" s="560"/>
      <c r="C2455" s="560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60" t="s">
        <v>5</v>
      </c>
      <c r="B2456" s="560"/>
      <c r="C2456" s="560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71" t="s">
        <v>7</v>
      </c>
      <c r="B2457" s="571"/>
      <c r="C2457" s="571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58" t="s">
        <v>460</v>
      </c>
      <c r="B2458" s="558"/>
      <c r="C2458" s="558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60" t="s">
        <v>3</v>
      </c>
      <c r="B2459" s="560"/>
      <c r="C2459" s="560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60" t="s">
        <v>5</v>
      </c>
      <c r="B2460" s="560"/>
      <c r="C2460" s="560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71" t="s">
        <v>7</v>
      </c>
      <c r="B2461" s="571"/>
      <c r="C2461" s="571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67" t="s">
        <v>2</v>
      </c>
      <c r="C2462" s="567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65" t="s">
        <v>3</v>
      </c>
      <c r="C2463" s="565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65" t="s">
        <v>5</v>
      </c>
      <c r="C2464" s="565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66" t="s">
        <v>7</v>
      </c>
      <c r="C2465" s="566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67" t="s">
        <v>2</v>
      </c>
      <c r="C2466" s="567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65" t="s">
        <v>3</v>
      </c>
      <c r="C2467" s="565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65" t="s">
        <v>5</v>
      </c>
      <c r="C2468" s="565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66" t="s">
        <v>7</v>
      </c>
      <c r="C2469" s="566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67" t="s">
        <v>2</v>
      </c>
      <c r="C2470" s="567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65" t="s">
        <v>3</v>
      </c>
      <c r="C2471" s="565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65" t="s">
        <v>5</v>
      </c>
      <c r="C2472" s="565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66" t="s">
        <v>7</v>
      </c>
      <c r="C2473" s="566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67" t="s">
        <v>2</v>
      </c>
      <c r="C2474" s="567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65" t="s">
        <v>3</v>
      </c>
      <c r="C2475" s="565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65" t="s">
        <v>5</v>
      </c>
      <c r="C2476" s="565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65" t="s">
        <v>7</v>
      </c>
      <c r="C2477" s="565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58" t="s">
        <v>461</v>
      </c>
      <c r="B2478" s="558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62" t="s">
        <v>3</v>
      </c>
      <c r="B2479" s="562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63" t="s">
        <v>5</v>
      </c>
      <c r="B2480" s="563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64" t="s">
        <v>7</v>
      </c>
      <c r="B2481" s="564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58" t="s">
        <v>462</v>
      </c>
      <c r="B2482" s="558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62" t="s">
        <v>3</v>
      </c>
      <c r="B2483" s="562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63" t="s">
        <v>5</v>
      </c>
      <c r="B2484" s="563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64" t="s">
        <v>7</v>
      </c>
      <c r="B2485" s="564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58" t="s">
        <v>463</v>
      </c>
      <c r="B2486" s="558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62" t="s">
        <v>3</v>
      </c>
      <c r="B2487" s="562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63" t="s">
        <v>5</v>
      </c>
      <c r="B2488" s="563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64" t="s">
        <v>7</v>
      </c>
      <c r="B2489" s="564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58" t="s">
        <v>464</v>
      </c>
      <c r="B2490" s="558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62" t="s">
        <v>3</v>
      </c>
      <c r="B2491" s="562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63" t="s">
        <v>5</v>
      </c>
      <c r="B2492" s="563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63" t="s">
        <v>7</v>
      </c>
      <c r="B2493" s="563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49" t="s">
        <v>468</v>
      </c>
      <c r="B2495" s="449"/>
      <c r="C2495" s="449"/>
      <c r="D2495" s="449"/>
      <c r="E2495" s="449"/>
      <c r="F2495" s="449"/>
      <c r="G2495" s="449"/>
      <c r="H2495" s="449"/>
      <c r="I2495" s="449"/>
      <c r="J2495" s="449"/>
      <c r="K2495" s="449"/>
      <c r="L2495" s="449"/>
      <c r="M2495" s="449"/>
    </row>
    <row r="2496" spans="1:21" ht="12.75" customHeight="1">
      <c r="A2496" s="450" t="s">
        <v>11</v>
      </c>
      <c r="B2496" s="450" t="s">
        <v>12</v>
      </c>
      <c r="C2496" s="450"/>
      <c r="D2496" s="470" t="s">
        <v>13</v>
      </c>
      <c r="E2496" s="454" t="s">
        <v>14</v>
      </c>
      <c r="F2496" s="455"/>
      <c r="G2496" s="455"/>
      <c r="H2496" s="455"/>
      <c r="I2496" s="455"/>
      <c r="J2496" s="455"/>
      <c r="K2496" s="455"/>
      <c r="L2496" s="455"/>
    </row>
    <row r="2497" spans="1:12" ht="12" customHeight="1">
      <c r="A2497" s="452"/>
      <c r="B2497" s="452"/>
      <c r="C2497" s="452"/>
      <c r="D2497" s="471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68">
        <v>1800</v>
      </c>
      <c r="C2498" s="468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65">
        <v>1500</v>
      </c>
      <c r="C2499" s="465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65">
        <v>1200</v>
      </c>
      <c r="C2500" s="465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67">
        <v>1000</v>
      </c>
      <c r="C2501" s="467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68">
        <v>1800</v>
      </c>
      <c r="C2502" s="468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65">
        <v>1500</v>
      </c>
      <c r="C2503" s="465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65">
        <v>1200</v>
      </c>
      <c r="C2504" s="465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67">
        <v>1000</v>
      </c>
      <c r="C2505" s="467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68">
        <v>1800</v>
      </c>
      <c r="C2506" s="468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65">
        <v>1500</v>
      </c>
      <c r="C2507" s="465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65">
        <v>1200</v>
      </c>
      <c r="C2508" s="465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67">
        <v>1000</v>
      </c>
      <c r="C2509" s="467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68">
        <v>1800</v>
      </c>
      <c r="C2510" s="468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65">
        <v>1500</v>
      </c>
      <c r="C2511" s="465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65">
        <v>1200</v>
      </c>
      <c r="C2512" s="465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67">
        <v>1000</v>
      </c>
      <c r="C2513" s="467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68">
        <v>1800</v>
      </c>
      <c r="C2514" s="468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65">
        <v>1500</v>
      </c>
      <c r="C2515" s="465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65">
        <v>1200</v>
      </c>
      <c r="C2516" s="465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67">
        <v>1000</v>
      </c>
      <c r="C2517" s="467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68">
        <v>1800</v>
      </c>
      <c r="C2518" s="468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65">
        <v>1500</v>
      </c>
      <c r="C2519" s="465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65">
        <v>1200</v>
      </c>
      <c r="C2520" s="465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67">
        <v>1000</v>
      </c>
      <c r="C2521" s="467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68">
        <v>1800</v>
      </c>
      <c r="C2522" s="468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65">
        <v>1500</v>
      </c>
      <c r="C2523" s="465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65">
        <v>1200</v>
      </c>
      <c r="C2524" s="465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67">
        <v>1000</v>
      </c>
      <c r="C2525" s="467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68">
        <v>1800</v>
      </c>
      <c r="C2526" s="468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65">
        <v>1500</v>
      </c>
      <c r="C2527" s="465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65">
        <v>1200</v>
      </c>
      <c r="C2528" s="465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67">
        <v>1000</v>
      </c>
      <c r="C2529" s="467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68">
        <v>1800</v>
      </c>
      <c r="C2530" s="468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65">
        <v>1500</v>
      </c>
      <c r="C2531" s="465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65">
        <v>1200</v>
      </c>
      <c r="C2532" s="465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67">
        <v>1000</v>
      </c>
      <c r="C2533" s="467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68">
        <v>1800</v>
      </c>
      <c r="C2534" s="468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65">
        <v>1500</v>
      </c>
      <c r="C2535" s="465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65">
        <v>1200</v>
      </c>
      <c r="C2536" s="465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67">
        <v>1000</v>
      </c>
      <c r="C2537" s="467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68">
        <v>1800</v>
      </c>
      <c r="C2538" s="468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65">
        <v>1500</v>
      </c>
      <c r="C2539" s="465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65">
        <v>1200</v>
      </c>
      <c r="C2540" s="465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67">
        <v>1000</v>
      </c>
      <c r="C2541" s="467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68">
        <v>1800</v>
      </c>
      <c r="C2542" s="468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65">
        <v>1500</v>
      </c>
      <c r="C2543" s="465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65">
        <v>1200</v>
      </c>
      <c r="C2544" s="465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67">
        <v>1000</v>
      </c>
      <c r="C2545" s="467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68">
        <v>1800</v>
      </c>
      <c r="C2546" s="468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65">
        <v>1500</v>
      </c>
      <c r="C2547" s="465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65">
        <v>1200</v>
      </c>
      <c r="C2548" s="465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67">
        <v>1000</v>
      </c>
      <c r="C2549" s="467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68">
        <v>1800</v>
      </c>
      <c r="C2550" s="468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65">
        <v>1500</v>
      </c>
      <c r="C2551" s="465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65">
        <v>1200</v>
      </c>
      <c r="C2552" s="465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67">
        <v>1000</v>
      </c>
      <c r="C2553" s="467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68">
        <v>1800</v>
      </c>
      <c r="C2554" s="468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65">
        <v>1500</v>
      </c>
      <c r="C2555" s="465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65">
        <v>1200</v>
      </c>
      <c r="C2556" s="465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65">
        <v>1000</v>
      </c>
      <c r="C2557" s="465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49" t="s">
        <v>468</v>
      </c>
      <c r="B2559" s="449"/>
      <c r="C2559" s="449"/>
      <c r="D2559" s="449"/>
      <c r="E2559" s="449"/>
      <c r="F2559" s="449"/>
      <c r="G2559" s="449"/>
      <c r="H2559" s="449"/>
      <c r="I2559" s="449"/>
      <c r="J2559" s="449"/>
      <c r="K2559" s="449"/>
      <c r="L2559" s="449"/>
      <c r="M2559" s="449"/>
      <c r="N2559" s="449"/>
      <c r="O2559" s="449"/>
      <c r="P2559" s="449"/>
      <c r="Q2559" s="449"/>
      <c r="R2559" s="449"/>
      <c r="S2559" s="449"/>
      <c r="T2559" s="449"/>
      <c r="U2559" s="449"/>
    </row>
    <row r="2560" spans="1:21" ht="12.75" customHeight="1">
      <c r="A2560" s="450" t="s">
        <v>11</v>
      </c>
      <c r="B2560" s="450" t="s">
        <v>12</v>
      </c>
      <c r="C2560" s="450"/>
      <c r="D2560" s="470" t="s">
        <v>13</v>
      </c>
      <c r="E2560" s="454" t="s">
        <v>14</v>
      </c>
      <c r="F2560" s="455"/>
      <c r="G2560" s="455"/>
      <c r="H2560" s="455"/>
      <c r="I2560" s="455"/>
      <c r="J2560" s="455"/>
      <c r="K2560" s="455"/>
      <c r="L2560" s="455"/>
      <c r="M2560" s="455"/>
      <c r="N2560" s="455"/>
      <c r="O2560" s="455"/>
      <c r="P2560" s="455"/>
      <c r="Q2560" s="455"/>
      <c r="R2560" s="455"/>
      <c r="S2560" s="455"/>
      <c r="T2560" s="455"/>
    </row>
    <row r="2561" spans="1:20" ht="12" customHeight="1">
      <c r="A2561" s="452"/>
      <c r="B2561" s="452"/>
      <c r="C2561" s="452"/>
      <c r="D2561" s="471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46">
        <v>1800</v>
      </c>
      <c r="C2562" s="546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47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81"/>
      <c r="B2563" s="549">
        <v>1500</v>
      </c>
      <c r="C2563" s="549"/>
      <c r="D2563" s="550">
        <v>18.8</v>
      </c>
      <c r="E2563" s="551">
        <v>178</v>
      </c>
      <c r="F2563" s="552" t="s">
        <v>1</v>
      </c>
      <c r="G2563" s="553">
        <v>301</v>
      </c>
      <c r="H2563" s="552" t="s">
        <v>1</v>
      </c>
      <c r="I2563" s="553">
        <v>393</v>
      </c>
      <c r="J2563" s="552" t="s">
        <v>1</v>
      </c>
      <c r="K2563" s="553">
        <v>590</v>
      </c>
      <c r="L2563" s="552" t="s">
        <v>1</v>
      </c>
      <c r="M2563" s="548"/>
      <c r="N2563" s="554" t="s">
        <v>1</v>
      </c>
      <c r="O2563" s="553">
        <v>1257</v>
      </c>
      <c r="P2563" s="554" t="s">
        <v>1</v>
      </c>
      <c r="Q2563" s="553">
        <v>1649</v>
      </c>
      <c r="R2563" s="554" t="s">
        <v>1</v>
      </c>
      <c r="S2563" s="554" t="s">
        <v>21</v>
      </c>
      <c r="T2563" s="555" t="s">
        <v>1</v>
      </c>
    </row>
    <row r="2564" spans="1:20" ht="9" customHeight="1">
      <c r="A2564" s="481"/>
      <c r="B2564" s="549"/>
      <c r="C2564" s="549"/>
      <c r="D2564" s="550"/>
      <c r="E2564" s="551"/>
      <c r="F2564" s="552"/>
      <c r="G2564" s="553"/>
      <c r="H2564" s="552"/>
      <c r="I2564" s="553"/>
      <c r="J2564" s="552"/>
      <c r="K2564" s="553"/>
      <c r="L2564" s="552"/>
      <c r="M2564" s="126">
        <v>826</v>
      </c>
      <c r="N2564" s="554"/>
      <c r="O2564" s="553"/>
      <c r="P2564" s="554"/>
      <c r="Q2564" s="553"/>
      <c r="R2564" s="554"/>
      <c r="S2564" s="554"/>
      <c r="T2564" s="555"/>
    </row>
    <row r="2565" spans="1:20" ht="9.3000000000000007" customHeight="1">
      <c r="A2565" s="1"/>
      <c r="B2565" s="549">
        <v>1200</v>
      </c>
      <c r="C2565" s="549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56">
        <v>1000</v>
      </c>
      <c r="C2566" s="556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46">
        <v>1800</v>
      </c>
      <c r="C2567" s="546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47" t="s">
        <v>470</v>
      </c>
      <c r="N2567" s="547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81"/>
      <c r="B2568" s="549">
        <v>1500</v>
      </c>
      <c r="C2568" s="549"/>
      <c r="D2568" s="550">
        <v>16.7</v>
      </c>
      <c r="E2568" s="551">
        <v>158</v>
      </c>
      <c r="F2568" s="552" t="s">
        <v>1</v>
      </c>
      <c r="G2568" s="553">
        <v>267</v>
      </c>
      <c r="H2568" s="553">
        <v>302</v>
      </c>
      <c r="I2568" s="553">
        <v>349</v>
      </c>
      <c r="J2568" s="553">
        <v>419</v>
      </c>
      <c r="K2568" s="553">
        <v>524</v>
      </c>
      <c r="L2568" s="553">
        <v>603</v>
      </c>
      <c r="M2568" s="548"/>
      <c r="N2568" s="548"/>
      <c r="O2568" s="553">
        <v>1117</v>
      </c>
      <c r="P2568" s="553">
        <v>1265</v>
      </c>
      <c r="Q2568" s="553">
        <v>1483</v>
      </c>
      <c r="R2568" s="553">
        <v>1675</v>
      </c>
      <c r="S2568" s="554" t="s">
        <v>21</v>
      </c>
      <c r="T2568" s="555" t="s">
        <v>21</v>
      </c>
    </row>
    <row r="2569" spans="1:20" ht="9" customHeight="1">
      <c r="A2569" s="481"/>
      <c r="B2569" s="549"/>
      <c r="C2569" s="549"/>
      <c r="D2569" s="550"/>
      <c r="E2569" s="551"/>
      <c r="F2569" s="552"/>
      <c r="G2569" s="553"/>
      <c r="H2569" s="553"/>
      <c r="I2569" s="553"/>
      <c r="J2569" s="553"/>
      <c r="K2569" s="553"/>
      <c r="L2569" s="553"/>
      <c r="M2569" s="126">
        <v>734</v>
      </c>
      <c r="N2569" s="126">
        <v>821</v>
      </c>
      <c r="O2569" s="553"/>
      <c r="P2569" s="553"/>
      <c r="Q2569" s="553"/>
      <c r="R2569" s="553"/>
      <c r="S2569" s="554"/>
      <c r="T2569" s="555"/>
    </row>
    <row r="2570" spans="1:20" ht="9.3000000000000007" customHeight="1">
      <c r="A2570" s="1"/>
      <c r="B2570" s="549">
        <v>1200</v>
      </c>
      <c r="C2570" s="549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56">
        <v>1000</v>
      </c>
      <c r="C2571" s="556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46">
        <v>1800</v>
      </c>
      <c r="C2572" s="546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47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81"/>
      <c r="B2573" s="549">
        <v>1500</v>
      </c>
      <c r="C2573" s="549"/>
      <c r="D2573" s="557">
        <v>15</v>
      </c>
      <c r="E2573" s="551">
        <v>142</v>
      </c>
      <c r="F2573" s="553">
        <v>177</v>
      </c>
      <c r="G2573" s="553">
        <v>240</v>
      </c>
      <c r="H2573" s="553">
        <v>271</v>
      </c>
      <c r="I2573" s="553">
        <v>314</v>
      </c>
      <c r="J2573" s="553">
        <v>376</v>
      </c>
      <c r="K2573" s="553">
        <v>471</v>
      </c>
      <c r="L2573" s="553">
        <v>541</v>
      </c>
      <c r="M2573" s="553">
        <v>659</v>
      </c>
      <c r="N2573" s="548"/>
      <c r="O2573" s="553">
        <v>1005</v>
      </c>
      <c r="P2573" s="553">
        <v>1139</v>
      </c>
      <c r="Q2573" s="553">
        <v>1351</v>
      </c>
      <c r="R2573" s="553">
        <v>1524</v>
      </c>
      <c r="S2573" s="554" t="s">
        <v>21</v>
      </c>
      <c r="T2573" s="555" t="s">
        <v>21</v>
      </c>
    </row>
    <row r="2574" spans="1:20" ht="9" customHeight="1">
      <c r="A2574" s="481"/>
      <c r="B2574" s="549"/>
      <c r="C2574" s="549"/>
      <c r="D2574" s="557"/>
      <c r="E2574" s="551"/>
      <c r="F2574" s="553"/>
      <c r="G2574" s="553"/>
      <c r="H2574" s="553"/>
      <c r="I2574" s="553"/>
      <c r="J2574" s="553"/>
      <c r="K2574" s="553"/>
      <c r="L2574" s="553"/>
      <c r="M2574" s="553"/>
      <c r="N2574" s="126">
        <v>738</v>
      </c>
      <c r="O2574" s="553"/>
      <c r="P2574" s="553"/>
      <c r="Q2574" s="553"/>
      <c r="R2574" s="553"/>
      <c r="S2574" s="554"/>
      <c r="T2574" s="555"/>
    </row>
    <row r="2575" spans="1:20" ht="9" customHeight="1">
      <c r="A2575" s="1"/>
      <c r="B2575" s="549">
        <v>1200</v>
      </c>
      <c r="C2575" s="549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56">
        <v>1000</v>
      </c>
      <c r="C2576" s="556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46">
        <v>1800</v>
      </c>
      <c r="C2577" s="546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49">
        <v>1500</v>
      </c>
      <c r="C2578" s="549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49">
        <v>1200</v>
      </c>
      <c r="C2579" s="549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56">
        <v>1000</v>
      </c>
      <c r="C2580" s="556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46">
        <v>1800</v>
      </c>
      <c r="C2581" s="546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49">
        <v>1500</v>
      </c>
      <c r="C2582" s="549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49">
        <v>1200</v>
      </c>
      <c r="C2583" s="549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56">
        <v>1000</v>
      </c>
      <c r="C2584" s="556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46">
        <v>1800</v>
      </c>
      <c r="C2585" s="546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49">
        <v>1500</v>
      </c>
      <c r="C2586" s="549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49">
        <v>1200</v>
      </c>
      <c r="C2587" s="549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56">
        <v>1000</v>
      </c>
      <c r="C2588" s="556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46">
        <v>1800</v>
      </c>
      <c r="C2589" s="546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49">
        <v>1500</v>
      </c>
      <c r="C2590" s="549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49">
        <v>1200</v>
      </c>
      <c r="C2591" s="549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56">
        <v>1000</v>
      </c>
      <c r="C2592" s="556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46">
        <v>1800</v>
      </c>
      <c r="C2593" s="546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49">
        <v>1500</v>
      </c>
      <c r="C2594" s="549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49">
        <v>1200</v>
      </c>
      <c r="C2595" s="549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56">
        <v>1000</v>
      </c>
      <c r="C2596" s="556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46">
        <v>1800</v>
      </c>
      <c r="C2597" s="546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49">
        <v>1500</v>
      </c>
      <c r="C2598" s="549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49">
        <v>1200</v>
      </c>
      <c r="C2599" s="549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56">
        <v>1000</v>
      </c>
      <c r="C2600" s="556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46">
        <v>1800</v>
      </c>
      <c r="C2601" s="546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49">
        <v>1500</v>
      </c>
      <c r="C2602" s="549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49">
        <v>1200</v>
      </c>
      <c r="C2603" s="549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56">
        <v>1000</v>
      </c>
      <c r="C2604" s="556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46">
        <v>1800</v>
      </c>
      <c r="C2605" s="546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49">
        <v>1500</v>
      </c>
      <c r="C2606" s="549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49">
        <v>1200</v>
      </c>
      <c r="C2607" s="549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56">
        <v>1000</v>
      </c>
      <c r="C2608" s="556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46">
        <v>1800</v>
      </c>
      <c r="C2609" s="546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49">
        <v>1500</v>
      </c>
      <c r="C2610" s="549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49">
        <v>1200</v>
      </c>
      <c r="C2611" s="549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56">
        <v>1000</v>
      </c>
      <c r="C2612" s="556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46">
        <v>1800</v>
      </c>
      <c r="C2613" s="546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49">
        <v>1500</v>
      </c>
      <c r="C2614" s="549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49">
        <v>1200</v>
      </c>
      <c r="C2615" s="549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56">
        <v>1000</v>
      </c>
      <c r="C2616" s="556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46">
        <v>1800</v>
      </c>
      <c r="C2617" s="546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49">
        <v>1500</v>
      </c>
      <c r="C2618" s="549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49">
        <v>1200</v>
      </c>
      <c r="C2619" s="549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56">
        <v>1000</v>
      </c>
      <c r="C2620" s="556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46">
        <v>1800</v>
      </c>
      <c r="C2621" s="546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49">
        <v>1500</v>
      </c>
      <c r="C2622" s="549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49">
        <v>1200</v>
      </c>
      <c r="C2623" s="549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49">
        <v>1000</v>
      </c>
      <c r="C2624" s="549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49" t="s">
        <v>513</v>
      </c>
      <c r="B2626" s="449"/>
      <c r="C2626" s="449"/>
      <c r="D2626" s="449"/>
      <c r="E2626" s="449"/>
      <c r="F2626" s="449"/>
      <c r="G2626" s="449"/>
      <c r="H2626" s="449"/>
      <c r="I2626" s="449"/>
      <c r="J2626" s="449"/>
      <c r="K2626" s="449"/>
      <c r="L2626" s="449"/>
      <c r="M2626" s="449"/>
    </row>
    <row r="2627" spans="1:13" ht="12.3" customHeight="1">
      <c r="A2627" s="478" t="s">
        <v>69</v>
      </c>
      <c r="B2627" s="454" t="s">
        <v>14</v>
      </c>
      <c r="C2627" s="455"/>
      <c r="D2627" s="455"/>
      <c r="E2627" s="455"/>
      <c r="F2627" s="455"/>
      <c r="G2627" s="455"/>
      <c r="H2627" s="455"/>
      <c r="I2627" s="455"/>
      <c r="J2627" s="455"/>
      <c r="K2627" s="455"/>
    </row>
    <row r="2628" spans="1:13" ht="12" customHeight="1">
      <c r="A2628" s="479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56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57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57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57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57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57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57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61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62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63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63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63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63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63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63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63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63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63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63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63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63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63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63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63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64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58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59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59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59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59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59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59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59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59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59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59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59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59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59"/>
    </row>
    <row r="2669" spans="1:20" ht="33.75" customHeight="1">
      <c r="A2669" s="449" t="s">
        <v>513</v>
      </c>
      <c r="B2669" s="449"/>
      <c r="C2669" s="449"/>
      <c r="D2669" s="449"/>
      <c r="E2669" s="449"/>
      <c r="F2669" s="449"/>
      <c r="G2669" s="449"/>
      <c r="H2669" s="449"/>
      <c r="I2669" s="449"/>
      <c r="J2669" s="449"/>
      <c r="K2669" s="449"/>
      <c r="L2669" s="449"/>
      <c r="M2669" s="449"/>
      <c r="N2669" s="449"/>
      <c r="O2669" s="449"/>
      <c r="P2669" s="449"/>
      <c r="Q2669" s="449"/>
      <c r="R2669" s="449"/>
      <c r="S2669" s="449"/>
      <c r="T2669" s="449"/>
    </row>
    <row r="2670" spans="1:20" ht="12.3" customHeight="1">
      <c r="A2670" s="478" t="s">
        <v>69</v>
      </c>
      <c r="B2670" s="454" t="s">
        <v>14</v>
      </c>
      <c r="C2670" s="455"/>
      <c r="D2670" s="455"/>
      <c r="E2670" s="455"/>
      <c r="F2670" s="455"/>
      <c r="G2670" s="455"/>
      <c r="H2670" s="455"/>
      <c r="I2670" s="455"/>
      <c r="J2670" s="455"/>
      <c r="K2670" s="455"/>
      <c r="L2670" s="455"/>
      <c r="M2670" s="455"/>
      <c r="N2670" s="455"/>
      <c r="O2670" s="455"/>
      <c r="P2670" s="455"/>
      <c r="Q2670" s="455"/>
      <c r="R2670" s="455"/>
    </row>
    <row r="2671" spans="1:20" ht="12" customHeight="1">
      <c r="A2671" s="479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56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57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57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57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57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57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57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61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62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63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63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63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63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63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63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63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63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63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63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63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63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63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63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63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64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58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59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59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59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59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59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59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59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59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59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59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59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59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59"/>
    </row>
    <row r="2712" spans="1:22" ht="40.799999999999997" customHeight="1">
      <c r="A2712" s="449" t="s">
        <v>515</v>
      </c>
      <c r="B2712" s="449"/>
      <c r="C2712" s="449"/>
      <c r="D2712" s="449"/>
      <c r="E2712" s="449"/>
      <c r="F2712" s="449"/>
      <c r="G2712" s="449"/>
      <c r="H2712" s="449"/>
      <c r="I2712" s="449"/>
      <c r="J2712" s="449"/>
      <c r="K2712" s="449"/>
      <c r="L2712" s="449"/>
      <c r="M2712" s="449"/>
      <c r="N2712" s="449"/>
      <c r="O2712" s="449"/>
      <c r="P2712" s="449"/>
      <c r="Q2712" s="449"/>
      <c r="R2712" s="449"/>
      <c r="S2712" s="449"/>
      <c r="T2712" s="449"/>
      <c r="U2712" s="449"/>
      <c r="V2712" s="449"/>
    </row>
    <row r="2713" spans="1:22" ht="12.3" customHeight="1">
      <c r="A2713" s="450" t="s">
        <v>69</v>
      </c>
      <c r="B2713" s="451"/>
      <c r="C2713" s="454" t="s">
        <v>14</v>
      </c>
      <c r="D2713" s="455"/>
      <c r="E2713" s="455"/>
      <c r="F2713" s="455"/>
      <c r="G2713" s="455"/>
      <c r="H2713" s="455"/>
      <c r="I2713" s="455"/>
      <c r="J2713" s="455"/>
      <c r="K2713" s="455"/>
      <c r="L2713" s="455"/>
      <c r="M2713" s="455"/>
      <c r="N2713" s="455"/>
      <c r="O2713" s="455"/>
      <c r="P2713" s="455"/>
      <c r="Q2713" s="455"/>
      <c r="R2713" s="455"/>
      <c r="S2713" s="455"/>
      <c r="T2713" s="455"/>
    </row>
    <row r="2714" spans="1:22" ht="9" customHeight="1">
      <c r="A2714" s="452"/>
      <c r="B2714" s="453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49" t="s">
        <v>516</v>
      </c>
      <c r="B2731" s="449"/>
      <c r="C2731" s="449"/>
      <c r="D2731" s="449"/>
      <c r="E2731" s="449"/>
      <c r="F2731" s="449"/>
      <c r="G2731" s="449"/>
      <c r="H2731" s="449"/>
      <c r="I2731" s="449"/>
      <c r="J2731" s="449"/>
      <c r="K2731" s="449"/>
      <c r="L2731" s="449"/>
      <c r="M2731" s="449"/>
      <c r="N2731" s="449"/>
      <c r="O2731" s="449"/>
      <c r="P2731" s="449"/>
      <c r="Q2731" s="449"/>
      <c r="R2731" s="449"/>
      <c r="S2731" s="449"/>
      <c r="T2731" s="449"/>
      <c r="U2731" s="449"/>
      <c r="V2731" s="449"/>
    </row>
    <row r="2732" spans="1:22" ht="12.3" customHeight="1">
      <c r="A2732" s="450" t="s">
        <v>69</v>
      </c>
      <c r="B2732" s="451"/>
      <c r="C2732" s="454" t="s">
        <v>14</v>
      </c>
      <c r="D2732" s="455"/>
      <c r="E2732" s="455"/>
      <c r="F2732" s="455"/>
      <c r="G2732" s="455"/>
      <c r="H2732" s="455"/>
      <c r="I2732" s="455"/>
      <c r="J2732" s="455"/>
      <c r="K2732" s="455"/>
      <c r="L2732" s="455"/>
      <c r="M2732" s="455"/>
      <c r="N2732" s="455"/>
      <c r="O2732" s="455"/>
      <c r="P2732" s="455"/>
      <c r="Q2732" s="455"/>
      <c r="R2732" s="455"/>
      <c r="S2732" s="455"/>
      <c r="T2732" s="455"/>
    </row>
    <row r="2733" spans="1:22" ht="9" customHeight="1">
      <c r="A2733" s="452"/>
      <c r="B2733" s="453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510" t="s">
        <v>517</v>
      </c>
      <c r="B2750" s="477"/>
      <c r="C2750" s="477"/>
      <c r="D2750" s="477"/>
      <c r="E2750" s="477"/>
      <c r="F2750" s="477"/>
      <c r="G2750" s="477"/>
      <c r="H2750" s="477"/>
      <c r="I2750" s="477"/>
      <c r="J2750" s="477"/>
      <c r="K2750" s="477"/>
      <c r="L2750" s="477"/>
      <c r="M2750" s="477"/>
      <c r="N2750" s="477"/>
      <c r="O2750" s="477"/>
    </row>
    <row r="2751" spans="1:20" ht="12.3" customHeight="1">
      <c r="A2751" s="515" t="s">
        <v>14</v>
      </c>
      <c r="B2751" s="515"/>
      <c r="C2751" s="515"/>
      <c r="D2751" s="515"/>
      <c r="E2751" s="515"/>
      <c r="F2751" s="515"/>
      <c r="G2751" s="515"/>
      <c r="H2751" s="515"/>
      <c r="I2751" s="515"/>
      <c r="J2751" s="515"/>
      <c r="K2751" s="515"/>
      <c r="L2751" s="515"/>
      <c r="M2751" s="515"/>
      <c r="N2751" s="515"/>
    </row>
    <row r="2752" spans="1:20" ht="12" customHeight="1">
      <c r="A2752" s="505" t="s">
        <v>518</v>
      </c>
      <c r="B2752" s="505"/>
      <c r="C2752" s="506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20">
        <v>9</v>
      </c>
      <c r="J2752" s="521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501">
        <v>1.25</v>
      </c>
      <c r="B2753" s="501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26">
        <v>0.92932000000000003</v>
      </c>
      <c r="J2753" s="527"/>
      <c r="K2753" s="14" t="s">
        <v>1</v>
      </c>
      <c r="L2753" s="14" t="s">
        <v>1</v>
      </c>
      <c r="M2753" s="14" t="s">
        <v>1</v>
      </c>
      <c r="N2753" s="456" t="s">
        <v>175</v>
      </c>
    </row>
    <row r="2754" spans="1:14" ht="12" customHeight="1">
      <c r="A2754" s="502">
        <v>1.4</v>
      </c>
      <c r="B2754" s="502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26">
        <v>0.84321999999999997</v>
      </c>
      <c r="J2754" s="527"/>
      <c r="K2754" s="14" t="s">
        <v>1</v>
      </c>
      <c r="L2754" s="14" t="s">
        <v>1</v>
      </c>
      <c r="M2754" s="14" t="s">
        <v>1</v>
      </c>
      <c r="N2754" s="457"/>
    </row>
    <row r="2755" spans="1:14" ht="12.3" customHeight="1">
      <c r="A2755" s="502">
        <v>1.6</v>
      </c>
      <c r="B2755" s="502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26">
        <v>0.72860999999999998</v>
      </c>
      <c r="J2755" s="527"/>
      <c r="K2755" s="14" t="s">
        <v>1</v>
      </c>
      <c r="L2755" s="264">
        <v>1.74977</v>
      </c>
      <c r="M2755" s="14" t="s">
        <v>1</v>
      </c>
      <c r="N2755" s="457"/>
    </row>
    <row r="2756" spans="1:14" ht="12" customHeight="1">
      <c r="A2756" s="502">
        <v>1.8</v>
      </c>
      <c r="B2756" s="502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26">
        <v>0.66019000000000005</v>
      </c>
      <c r="J2756" s="527"/>
      <c r="K2756" s="14" t="s">
        <v>1</v>
      </c>
      <c r="L2756" s="264">
        <v>1.5879799999999999</v>
      </c>
      <c r="M2756" s="14" t="s">
        <v>1</v>
      </c>
      <c r="N2756" s="457"/>
    </row>
    <row r="2757" spans="1:14" ht="12.3" customHeight="1">
      <c r="A2757" s="502">
        <v>2</v>
      </c>
      <c r="B2757" s="502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26">
        <v>0.59704000000000002</v>
      </c>
      <c r="J2757" s="527"/>
      <c r="K2757" s="14" t="s">
        <v>1</v>
      </c>
      <c r="L2757" s="264">
        <v>1.43757</v>
      </c>
      <c r="M2757" s="14" t="s">
        <v>1</v>
      </c>
      <c r="N2757" s="457"/>
    </row>
    <row r="2758" spans="1:14" ht="12" customHeight="1">
      <c r="A2758" s="501">
        <v>2.2400000000000002</v>
      </c>
      <c r="B2758" s="501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26">
        <v>0.53839999999999999</v>
      </c>
      <c r="J2758" s="527"/>
      <c r="K2758" s="14" t="s">
        <v>1</v>
      </c>
      <c r="L2758" s="264">
        <v>1.29698</v>
      </c>
      <c r="M2758" s="14" t="s">
        <v>1</v>
      </c>
      <c r="N2758" s="457"/>
    </row>
    <row r="2759" spans="1:14" ht="12.3" customHeight="1">
      <c r="A2759" s="502">
        <v>2.5</v>
      </c>
      <c r="B2759" s="502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26">
        <v>0.48365999999999998</v>
      </c>
      <c r="J2759" s="527"/>
      <c r="K2759" s="14" t="s">
        <v>1</v>
      </c>
      <c r="L2759" s="264">
        <v>1.1649499999999999</v>
      </c>
      <c r="M2759" s="14" t="s">
        <v>1</v>
      </c>
      <c r="N2759" s="457"/>
    </row>
    <row r="2760" spans="1:14" ht="12" customHeight="1">
      <c r="A2760" s="502">
        <v>2.8</v>
      </c>
      <c r="B2760" s="502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26">
        <v>0.44378000000000001</v>
      </c>
      <c r="J2760" s="527"/>
      <c r="K2760" s="14" t="s">
        <v>1</v>
      </c>
      <c r="L2760" s="264">
        <v>1.0405500000000001</v>
      </c>
      <c r="M2760" s="14" t="s">
        <v>1</v>
      </c>
      <c r="N2760" s="457"/>
    </row>
    <row r="2761" spans="1:14" ht="12.3" customHeight="1">
      <c r="A2761" s="501">
        <v>3.15</v>
      </c>
      <c r="B2761" s="501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26">
        <v>0.31089</v>
      </c>
      <c r="J2761" s="527"/>
      <c r="K2761" s="14" t="s">
        <v>1</v>
      </c>
      <c r="L2761" s="264">
        <v>0.84211000000000003</v>
      </c>
      <c r="M2761" s="14" t="s">
        <v>1</v>
      </c>
      <c r="N2761" s="457"/>
    </row>
    <row r="2762" spans="1:14" ht="12" customHeight="1">
      <c r="A2762" s="501">
        <v>3.55</v>
      </c>
      <c r="B2762" s="501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26">
        <v>0.2732</v>
      </c>
      <c r="J2762" s="527"/>
      <c r="K2762" s="14" t="s">
        <v>1</v>
      </c>
      <c r="L2762" s="264">
        <v>0.73594999999999999</v>
      </c>
      <c r="M2762" s="14" t="s">
        <v>1</v>
      </c>
      <c r="N2762" s="457"/>
    </row>
    <row r="2763" spans="1:14" ht="12.3" customHeight="1">
      <c r="A2763" s="502">
        <v>4</v>
      </c>
      <c r="B2763" s="502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26">
        <v>0.23755999999999999</v>
      </c>
      <c r="J2763" s="527"/>
      <c r="K2763" s="14" t="s">
        <v>1</v>
      </c>
      <c r="L2763" s="264">
        <v>0.64639999999999997</v>
      </c>
      <c r="M2763" s="14" t="s">
        <v>1</v>
      </c>
      <c r="N2763" s="457"/>
    </row>
    <row r="2764" spans="1:14" ht="12" customHeight="1">
      <c r="A2764" s="502">
        <v>4.5</v>
      </c>
      <c r="B2764" s="502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26">
        <v>0.19980000000000001</v>
      </c>
      <c r="J2764" s="527"/>
      <c r="K2764" s="14" t="s">
        <v>1</v>
      </c>
      <c r="L2764" s="264">
        <v>0.4955</v>
      </c>
      <c r="M2764" s="14" t="s">
        <v>1</v>
      </c>
      <c r="N2764" s="457"/>
    </row>
    <row r="2765" spans="1:14" ht="12.3" customHeight="1">
      <c r="A2765" s="502">
        <v>5</v>
      </c>
      <c r="B2765" s="502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26">
        <v>0.17088999999999999</v>
      </c>
      <c r="J2765" s="527"/>
      <c r="K2765" s="14" t="s">
        <v>1</v>
      </c>
      <c r="L2765" s="264">
        <v>0.40617999999999999</v>
      </c>
      <c r="M2765" s="14" t="s">
        <v>1</v>
      </c>
      <c r="N2765" s="457"/>
    </row>
    <row r="2766" spans="1:14" ht="12" customHeight="1">
      <c r="A2766" s="502">
        <v>5.6</v>
      </c>
      <c r="B2766" s="502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26">
        <v>0.14113999999999999</v>
      </c>
      <c r="J2766" s="527"/>
      <c r="K2766" s="14" t="s">
        <v>1</v>
      </c>
      <c r="L2766" s="264">
        <v>0.37470999999999999</v>
      </c>
      <c r="M2766" s="14" t="s">
        <v>1</v>
      </c>
      <c r="N2766" s="457"/>
    </row>
    <row r="2767" spans="1:14" ht="12.3" customHeight="1">
      <c r="A2767" s="509" t="s">
        <v>519</v>
      </c>
      <c r="B2767" s="509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32">
        <v>0.1</v>
      </c>
      <c r="J2767" s="533"/>
      <c r="K2767" s="14" t="s">
        <v>1</v>
      </c>
      <c r="L2767" s="266">
        <v>0.28999999999999998</v>
      </c>
      <c r="M2767" s="14" t="s">
        <v>1</v>
      </c>
      <c r="N2767" s="461"/>
    </row>
    <row r="2768" spans="1:14" ht="12" customHeight="1">
      <c r="A2768" s="502">
        <v>6.3</v>
      </c>
      <c r="B2768" s="502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22">
        <v>0.20124</v>
      </c>
      <c r="J2768" s="523"/>
      <c r="K2768" s="79" t="s">
        <v>1</v>
      </c>
      <c r="L2768" s="267">
        <v>0.52102999999999999</v>
      </c>
      <c r="M2768" s="79" t="s">
        <v>1</v>
      </c>
      <c r="N2768" s="462" t="s">
        <v>71</v>
      </c>
    </row>
    <row r="2769" spans="1:15" ht="12.3" customHeight="1">
      <c r="A2769" s="502">
        <v>7.1</v>
      </c>
      <c r="B2769" s="502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22">
        <v>0.16652</v>
      </c>
      <c r="J2769" s="523"/>
      <c r="K2769" s="79" t="s">
        <v>1</v>
      </c>
      <c r="L2769" s="267">
        <v>0.45488000000000001</v>
      </c>
      <c r="M2769" s="79" t="s">
        <v>1</v>
      </c>
      <c r="N2769" s="463"/>
    </row>
    <row r="2770" spans="1:15" ht="12" customHeight="1">
      <c r="A2770" s="502">
        <v>8</v>
      </c>
      <c r="B2770" s="502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22">
        <v>0.14591999999999999</v>
      </c>
      <c r="J2770" s="523"/>
      <c r="K2770" s="267">
        <v>0.23956</v>
      </c>
      <c r="L2770" s="267">
        <v>0.39684000000000003</v>
      </c>
      <c r="M2770" s="267">
        <v>0.63968000000000003</v>
      </c>
      <c r="N2770" s="463"/>
    </row>
    <row r="2771" spans="1:15" ht="12.3" customHeight="1">
      <c r="A2771" s="502">
        <v>9</v>
      </c>
      <c r="B2771" s="502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22">
        <v>0.12770999999999999</v>
      </c>
      <c r="J2771" s="523"/>
      <c r="K2771" s="267">
        <v>0.19511000000000001</v>
      </c>
      <c r="L2771" s="267">
        <v>0.32235999999999998</v>
      </c>
      <c r="M2771" s="267">
        <v>0.55210999999999999</v>
      </c>
      <c r="N2771" s="463"/>
    </row>
    <row r="2772" spans="1:15" ht="12" customHeight="1">
      <c r="A2772" s="500">
        <v>10</v>
      </c>
      <c r="B2772" s="500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22">
        <v>0.11101999999999999</v>
      </c>
      <c r="J2772" s="523"/>
      <c r="K2772" s="267">
        <v>0.16927</v>
      </c>
      <c r="L2772" s="267">
        <v>0.27966999999999997</v>
      </c>
      <c r="M2772" s="267">
        <v>0.47605999999999998</v>
      </c>
      <c r="N2772" s="463"/>
    </row>
    <row r="2773" spans="1:15" ht="12.3" customHeight="1">
      <c r="A2773" s="502">
        <v>11.2</v>
      </c>
      <c r="B2773" s="502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22">
        <v>9.5060000000000006E-2</v>
      </c>
      <c r="J2773" s="523"/>
      <c r="K2773" s="267">
        <v>0.14665</v>
      </c>
      <c r="L2773" s="267">
        <v>0.25168000000000001</v>
      </c>
      <c r="M2773" s="267">
        <v>0.37981999999999999</v>
      </c>
      <c r="N2773" s="463"/>
    </row>
    <row r="2774" spans="1:15" ht="12" customHeight="1">
      <c r="A2774" s="502">
        <v>12.5</v>
      </c>
      <c r="B2774" s="502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22">
        <v>7.2090000000000001E-2</v>
      </c>
      <c r="J2774" s="523"/>
      <c r="K2774" s="267">
        <v>0.12623999999999999</v>
      </c>
      <c r="L2774" s="267">
        <v>0.19234000000000001</v>
      </c>
      <c r="M2774" s="267">
        <v>0.32552999999999999</v>
      </c>
      <c r="N2774" s="463"/>
    </row>
    <row r="2775" spans="1:15" ht="12.3" customHeight="1">
      <c r="A2775" s="500">
        <v>14</v>
      </c>
      <c r="B2775" s="500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22">
        <v>6.1019999999999998E-2</v>
      </c>
      <c r="J2775" s="523"/>
      <c r="K2775" s="267">
        <v>0.10716000000000001</v>
      </c>
      <c r="L2775" s="267">
        <v>0.16347999999999999</v>
      </c>
      <c r="M2775" s="267">
        <v>0.29071999999999998</v>
      </c>
      <c r="N2775" s="463"/>
    </row>
    <row r="2776" spans="1:15" ht="12" customHeight="1">
      <c r="A2776" s="500">
        <v>16</v>
      </c>
      <c r="B2776" s="500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22">
        <v>5.1330000000000001E-2</v>
      </c>
      <c r="J2776" s="523"/>
      <c r="K2776" s="267">
        <v>8.1589999999999996E-2</v>
      </c>
      <c r="L2776" s="267">
        <v>0.13633000000000001</v>
      </c>
      <c r="M2776" s="267">
        <v>0.22356999999999999</v>
      </c>
      <c r="N2776" s="463"/>
    </row>
    <row r="2777" spans="1:15" ht="12.3" customHeight="1">
      <c r="A2777" s="500">
        <v>18</v>
      </c>
      <c r="B2777" s="500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22">
        <v>4.385E-2</v>
      </c>
      <c r="J2777" s="523"/>
      <c r="K2777" s="267">
        <v>6.8519999999999998E-2</v>
      </c>
      <c r="L2777" s="267">
        <v>0.12189</v>
      </c>
      <c r="M2777" s="267">
        <v>0.18812999999999999</v>
      </c>
      <c r="N2777" s="463"/>
    </row>
    <row r="2778" spans="1:15" ht="12" customHeight="1">
      <c r="A2778" s="500">
        <v>20</v>
      </c>
      <c r="B2778" s="500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22">
        <v>4.0390000000000002E-2</v>
      </c>
      <c r="J2778" s="523"/>
      <c r="K2778" s="267">
        <v>5.722E-2</v>
      </c>
      <c r="L2778" s="267">
        <v>0.1046</v>
      </c>
      <c r="M2778" s="267">
        <v>0.15545999999999999</v>
      </c>
      <c r="N2778" s="463"/>
    </row>
    <row r="2779" spans="1:15" ht="12.3" customHeight="1">
      <c r="A2779" s="502">
        <v>22.4</v>
      </c>
      <c r="B2779" s="502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22">
        <v>3.4139999999999997E-2</v>
      </c>
      <c r="J2779" s="523"/>
      <c r="K2779" s="267">
        <v>4.8379999999999999E-2</v>
      </c>
      <c r="L2779" s="267">
        <v>8.8400000000000006E-2</v>
      </c>
      <c r="M2779" s="267">
        <v>0.13769000000000001</v>
      </c>
      <c r="N2779" s="463"/>
    </row>
    <row r="2780" spans="1:15" ht="12" customHeight="1">
      <c r="A2780" s="500">
        <v>25</v>
      </c>
      <c r="B2780" s="500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24" t="s">
        <v>1</v>
      </c>
      <c r="J2780" s="525"/>
      <c r="K2780" s="267">
        <v>4.4420000000000001E-2</v>
      </c>
      <c r="L2780" s="79" t="s">
        <v>1</v>
      </c>
      <c r="M2780" s="267">
        <v>0.11733</v>
      </c>
      <c r="N2780" s="463"/>
    </row>
    <row r="2781" spans="1:15" ht="12.3" customHeight="1">
      <c r="A2781" s="500">
        <v>28</v>
      </c>
      <c r="B2781" s="500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24" t="s">
        <v>1</v>
      </c>
      <c r="J2781" s="525"/>
      <c r="K2781" s="267">
        <v>3.7280000000000001E-2</v>
      </c>
      <c r="L2781" s="79" t="s">
        <v>1</v>
      </c>
      <c r="M2781" s="267">
        <v>9.8419999999999994E-2</v>
      </c>
      <c r="N2781" s="463"/>
    </row>
    <row r="2782" spans="1:15" ht="12" customHeight="1">
      <c r="A2782" s="542" t="s">
        <v>520</v>
      </c>
      <c r="B2782" s="542"/>
      <c r="C2782" s="543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44">
        <v>4.4999999999999998E-2</v>
      </c>
      <c r="J2782" s="545"/>
      <c r="K2782" s="269">
        <v>4.4999999999999998E-2</v>
      </c>
      <c r="L2782" s="269">
        <v>0.1</v>
      </c>
      <c r="M2782" s="269">
        <v>0.1</v>
      </c>
      <c r="N2782" s="463"/>
    </row>
    <row r="2784" spans="1:15" ht="29.7" customHeight="1">
      <c r="A2784" s="477" t="s">
        <v>517</v>
      </c>
      <c r="B2784" s="477"/>
      <c r="C2784" s="477"/>
      <c r="D2784" s="477"/>
      <c r="E2784" s="477"/>
      <c r="F2784" s="477"/>
      <c r="G2784" s="477"/>
      <c r="H2784" s="477"/>
      <c r="I2784" s="477"/>
      <c r="J2784" s="477"/>
      <c r="K2784" s="477"/>
      <c r="L2784" s="477"/>
      <c r="M2784" s="477"/>
      <c r="N2784" s="477"/>
      <c r="O2784" s="477"/>
    </row>
    <row r="2785" spans="1:14" ht="12.3" customHeight="1">
      <c r="A2785" s="515" t="s">
        <v>14</v>
      </c>
      <c r="B2785" s="515"/>
      <c r="C2785" s="515"/>
      <c r="D2785" s="515"/>
      <c r="E2785" s="515"/>
      <c r="F2785" s="515"/>
      <c r="G2785" s="515"/>
      <c r="H2785" s="515"/>
      <c r="I2785" s="515"/>
      <c r="J2785" s="515"/>
      <c r="K2785" s="515"/>
      <c r="L2785" s="515"/>
      <c r="M2785" s="515"/>
      <c r="N2785" s="515"/>
    </row>
    <row r="2786" spans="1:14" ht="12" customHeight="1">
      <c r="A2786" s="505" t="s">
        <v>518</v>
      </c>
      <c r="B2786" s="505"/>
      <c r="C2786" s="506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20">
        <v>9</v>
      </c>
      <c r="J2786" s="521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502">
        <v>22.4</v>
      </c>
      <c r="B2787" s="502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16" t="s">
        <v>1</v>
      </c>
      <c r="J2787" s="517"/>
      <c r="K2787" s="14" t="s">
        <v>1</v>
      </c>
      <c r="L2787" s="14" t="s">
        <v>1</v>
      </c>
      <c r="M2787" s="14" t="s">
        <v>1</v>
      </c>
      <c r="N2787" s="456" t="s">
        <v>72</v>
      </c>
    </row>
    <row r="2788" spans="1:14" ht="12" customHeight="1">
      <c r="A2788" s="513">
        <v>25</v>
      </c>
      <c r="B2788" s="513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26">
        <v>3.9100000000000003E-2</v>
      </c>
      <c r="J2788" s="527"/>
      <c r="K2788" s="14" t="s">
        <v>1</v>
      </c>
      <c r="L2788" s="264">
        <v>0.10272000000000001</v>
      </c>
      <c r="M2788" s="14" t="s">
        <v>1</v>
      </c>
      <c r="N2788" s="457"/>
    </row>
    <row r="2789" spans="1:14" ht="12.3" customHeight="1">
      <c r="A2789" s="513">
        <v>28</v>
      </c>
      <c r="B2789" s="513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26">
        <v>3.2370000000000003E-2</v>
      </c>
      <c r="J2789" s="527"/>
      <c r="K2789" s="14" t="s">
        <v>1</v>
      </c>
      <c r="L2789" s="264">
        <v>8.3330000000000001E-2</v>
      </c>
      <c r="M2789" s="14" t="s">
        <v>1</v>
      </c>
      <c r="N2789" s="457"/>
    </row>
    <row r="2790" spans="1:14" ht="12" customHeight="1">
      <c r="A2790" s="502">
        <v>31.5</v>
      </c>
      <c r="B2790" s="502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26">
        <v>2.8740000000000002E-2</v>
      </c>
      <c r="J2790" s="527"/>
      <c r="K2790" s="264">
        <v>4.1419999999999998E-2</v>
      </c>
      <c r="L2790" s="264">
        <v>7.2419999999999998E-2</v>
      </c>
      <c r="M2790" s="264">
        <v>0.1103</v>
      </c>
      <c r="N2790" s="457"/>
    </row>
    <row r="2791" spans="1:14" ht="12.3" customHeight="1">
      <c r="A2791" s="502">
        <v>35.5</v>
      </c>
      <c r="B2791" s="502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26">
        <v>2.5499999999999998E-2</v>
      </c>
      <c r="J2791" s="527"/>
      <c r="K2791" s="264">
        <v>3.4130000000000001E-2</v>
      </c>
      <c r="L2791" s="264">
        <v>6.2839999999999993E-2</v>
      </c>
      <c r="M2791" s="264">
        <v>8.8980000000000004E-2</v>
      </c>
      <c r="N2791" s="457"/>
    </row>
    <row r="2792" spans="1:14" ht="12" customHeight="1">
      <c r="A2792" s="513">
        <v>40</v>
      </c>
      <c r="B2792" s="513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26">
        <v>2.129E-2</v>
      </c>
      <c r="J2792" s="527"/>
      <c r="K2792" s="264">
        <v>3.0210000000000001E-2</v>
      </c>
      <c r="L2792" s="264">
        <v>5.4399999999999997E-2</v>
      </c>
      <c r="M2792" s="264">
        <v>7.7039999999999997E-2</v>
      </c>
      <c r="N2792" s="457"/>
    </row>
    <row r="2793" spans="1:14" ht="12.3" customHeight="1">
      <c r="A2793" s="513">
        <v>45</v>
      </c>
      <c r="B2793" s="513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26">
        <v>1.874E-2</v>
      </c>
      <c r="J2793" s="527"/>
      <c r="K2793" s="264">
        <v>2.673E-2</v>
      </c>
      <c r="L2793" s="264">
        <v>4.7989999999999998E-2</v>
      </c>
      <c r="M2793" s="264">
        <v>6.6589999999999996E-2</v>
      </c>
      <c r="N2793" s="457"/>
    </row>
    <row r="2794" spans="1:14" ht="12" customHeight="1">
      <c r="A2794" s="513">
        <v>50</v>
      </c>
      <c r="B2794" s="513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26">
        <v>1.359E-2</v>
      </c>
      <c r="J2794" s="527"/>
      <c r="K2794" s="264">
        <v>2.2210000000000001E-2</v>
      </c>
      <c r="L2794" s="264">
        <v>3.603E-2</v>
      </c>
      <c r="M2794" s="264">
        <v>5.7410000000000003E-2</v>
      </c>
      <c r="N2794" s="457"/>
    </row>
    <row r="2795" spans="1:14" ht="12.3" customHeight="1">
      <c r="A2795" s="513">
        <v>56</v>
      </c>
      <c r="B2795" s="513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26">
        <v>1.162E-2</v>
      </c>
      <c r="J2795" s="527"/>
      <c r="K2795" s="264">
        <v>1.949E-2</v>
      </c>
      <c r="L2795" s="264">
        <v>2.835E-2</v>
      </c>
      <c r="M2795" s="264">
        <v>5.0470000000000001E-2</v>
      </c>
      <c r="N2795" s="457"/>
    </row>
    <row r="2796" spans="1:14" ht="12" customHeight="1">
      <c r="A2796" s="513">
        <v>63</v>
      </c>
      <c r="B2796" s="513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26">
        <v>9.8200000000000006E-3</v>
      </c>
      <c r="J2796" s="527"/>
      <c r="K2796" s="264">
        <v>1.4189999999999999E-2</v>
      </c>
      <c r="L2796" s="264">
        <v>2.3859999999999999E-2</v>
      </c>
      <c r="M2796" s="264">
        <v>3.805E-2</v>
      </c>
      <c r="N2796" s="457"/>
    </row>
    <row r="2797" spans="1:14" ht="12.3" customHeight="1">
      <c r="A2797" s="513">
        <v>71</v>
      </c>
      <c r="B2797" s="513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26">
        <v>7.3800000000000003E-3</v>
      </c>
      <c r="J2797" s="527"/>
      <c r="K2797" s="264">
        <v>1.21E-2</v>
      </c>
      <c r="L2797" s="264">
        <v>1.9E-2</v>
      </c>
      <c r="M2797" s="264">
        <v>2.9790000000000001E-2</v>
      </c>
      <c r="N2797" s="457"/>
    </row>
    <row r="2798" spans="1:14" ht="12" customHeight="1">
      <c r="A2798" s="513">
        <v>80</v>
      </c>
      <c r="B2798" s="513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26">
        <v>6.2399999999999999E-3</v>
      </c>
      <c r="J2798" s="527"/>
      <c r="K2798" s="264">
        <v>1.0200000000000001E-2</v>
      </c>
      <c r="L2798" s="264">
        <v>1.5949999999999999E-2</v>
      </c>
      <c r="M2798" s="264">
        <v>2.5000000000000001E-2</v>
      </c>
      <c r="N2798" s="457"/>
    </row>
    <row r="2799" spans="1:14" ht="12.3" customHeight="1">
      <c r="A2799" s="513">
        <v>90</v>
      </c>
      <c r="B2799" s="513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26">
        <v>5.1999999999999998E-3</v>
      </c>
      <c r="J2799" s="527"/>
      <c r="K2799" s="264">
        <v>7.6800000000000002E-3</v>
      </c>
      <c r="L2799" s="264">
        <v>1.453E-2</v>
      </c>
      <c r="M2799" s="264">
        <v>1.9910000000000001E-2</v>
      </c>
      <c r="N2799" s="457"/>
    </row>
    <row r="2800" spans="1:14" ht="12" customHeight="1">
      <c r="A2800" s="500">
        <v>100</v>
      </c>
      <c r="B2800" s="500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16" t="s">
        <v>1</v>
      </c>
      <c r="J2800" s="517"/>
      <c r="K2800" s="264">
        <v>6.4799999999999996E-3</v>
      </c>
      <c r="L2800" s="14" t="s">
        <v>1</v>
      </c>
      <c r="M2800" s="264">
        <v>1.6670000000000001E-2</v>
      </c>
      <c r="N2800" s="457"/>
    </row>
    <row r="2801" spans="1:14" ht="12.3" customHeight="1">
      <c r="A2801" s="500">
        <v>112</v>
      </c>
      <c r="B2801" s="500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16" t="s">
        <v>1</v>
      </c>
      <c r="J2801" s="517"/>
      <c r="K2801" s="264">
        <v>5.3899999999999998E-3</v>
      </c>
      <c r="L2801" s="14" t="s">
        <v>1</v>
      </c>
      <c r="M2801" s="264">
        <v>1.5169999999999999E-2</v>
      </c>
      <c r="N2801" s="457"/>
    </row>
    <row r="2802" spans="1:14" ht="12" customHeight="1">
      <c r="A2802" s="509" t="s">
        <v>519</v>
      </c>
      <c r="B2802" s="509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32">
        <v>0.02</v>
      </c>
      <c r="J2802" s="533"/>
      <c r="K2802" s="266">
        <v>0.02</v>
      </c>
      <c r="L2802" s="266">
        <v>4.4999999999999998E-2</v>
      </c>
      <c r="M2802" s="266">
        <v>4.4999999999999998E-2</v>
      </c>
      <c r="N2802" s="461"/>
    </row>
    <row r="2803" spans="1:14" ht="12.3" customHeight="1">
      <c r="A2803" s="500">
        <v>100</v>
      </c>
      <c r="B2803" s="500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22">
        <v>6.6699999999999997E-3</v>
      </c>
      <c r="J2803" s="523"/>
      <c r="K2803" s="79" t="s">
        <v>1</v>
      </c>
      <c r="L2803" s="267">
        <v>1.753E-2</v>
      </c>
      <c r="M2803" s="79" t="s">
        <v>1</v>
      </c>
      <c r="N2803" s="462" t="s">
        <v>73</v>
      </c>
    </row>
    <row r="2804" spans="1:14" ht="12" customHeight="1">
      <c r="A2804" s="500">
        <v>112</v>
      </c>
      <c r="B2804" s="500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22">
        <v>5.5199999999999997E-3</v>
      </c>
      <c r="J2804" s="523"/>
      <c r="K2804" s="79" t="s">
        <v>1</v>
      </c>
      <c r="L2804" s="267">
        <v>1.5599999999999999E-2</v>
      </c>
      <c r="M2804" s="79" t="s">
        <v>1</v>
      </c>
      <c r="N2804" s="463"/>
    </row>
    <row r="2805" spans="1:14" ht="12.3" customHeight="1">
      <c r="A2805" s="500">
        <v>125</v>
      </c>
      <c r="B2805" s="500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22">
        <v>4.8599999999999997E-3</v>
      </c>
      <c r="J2805" s="523"/>
      <c r="K2805" s="267">
        <v>6.8300000000000001E-3</v>
      </c>
      <c r="L2805" s="267">
        <v>1.3100000000000001E-2</v>
      </c>
      <c r="M2805" s="267">
        <v>1.796E-2</v>
      </c>
      <c r="N2805" s="463"/>
    </row>
    <row r="2806" spans="1:14" ht="12" customHeight="1">
      <c r="A2806" s="500">
        <v>140</v>
      </c>
      <c r="B2806" s="500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22">
        <v>4.28E-3</v>
      </c>
      <c r="J2806" s="523"/>
      <c r="K2806" s="267">
        <v>5.64E-3</v>
      </c>
      <c r="L2806" s="267">
        <v>1.1639999999999999E-2</v>
      </c>
      <c r="M2806" s="267">
        <v>1.5970000000000002E-2</v>
      </c>
      <c r="N2806" s="463"/>
    </row>
    <row r="2807" spans="1:14" ht="12.3" customHeight="1">
      <c r="A2807" s="500">
        <v>160</v>
      </c>
      <c r="B2807" s="500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22">
        <v>3.48E-3</v>
      </c>
      <c r="J2807" s="523"/>
      <c r="K2807" s="267">
        <v>4.96E-3</v>
      </c>
      <c r="L2807" s="267">
        <v>9.7000000000000003E-3</v>
      </c>
      <c r="M2807" s="267">
        <v>1.338E-2</v>
      </c>
      <c r="N2807" s="463"/>
    </row>
    <row r="2808" spans="1:14" ht="12" customHeight="1">
      <c r="A2808" s="500">
        <v>180</v>
      </c>
      <c r="B2808" s="500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22">
        <v>3.0000000000000001E-3</v>
      </c>
      <c r="J2808" s="523"/>
      <c r="K2808" s="267">
        <v>4.3600000000000002E-3</v>
      </c>
      <c r="L2808" s="267">
        <v>8.4799999999999997E-3</v>
      </c>
      <c r="M2808" s="267">
        <v>1.188E-2</v>
      </c>
      <c r="N2808" s="463"/>
    </row>
    <row r="2809" spans="1:14" ht="12.3" customHeight="1">
      <c r="A2809" s="500">
        <v>200</v>
      </c>
      <c r="B2809" s="500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22">
        <v>2.3E-3</v>
      </c>
      <c r="J2809" s="523"/>
      <c r="K2809" s="267">
        <v>3.5400000000000002E-3</v>
      </c>
      <c r="L2809" s="267">
        <v>5.9500000000000004E-3</v>
      </c>
      <c r="M2809" s="267">
        <v>9.8799999999999999E-3</v>
      </c>
      <c r="N2809" s="463"/>
    </row>
    <row r="2810" spans="1:14" ht="12" customHeight="1">
      <c r="A2810" s="500">
        <v>224</v>
      </c>
      <c r="B2810" s="500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22">
        <v>1.9499999999999999E-3</v>
      </c>
      <c r="J2810" s="523"/>
      <c r="K2810" s="267">
        <v>3.0500000000000002E-3</v>
      </c>
      <c r="L2810" s="267">
        <v>5.0800000000000003E-3</v>
      </c>
      <c r="M2810" s="267">
        <v>8.6300000000000005E-3</v>
      </c>
      <c r="N2810" s="463"/>
    </row>
    <row r="2811" spans="1:14" ht="12.3" customHeight="1">
      <c r="A2811" s="500">
        <v>250</v>
      </c>
      <c r="B2811" s="500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22">
        <v>1.6299999999999999E-3</v>
      </c>
      <c r="J2811" s="523"/>
      <c r="K2811" s="267">
        <v>2.3400000000000001E-3</v>
      </c>
      <c r="L2811" s="267">
        <v>4.28E-3</v>
      </c>
      <c r="M2811" s="267">
        <v>6.0600000000000003E-3</v>
      </c>
      <c r="N2811" s="463"/>
    </row>
    <row r="2812" spans="1:14" ht="12" customHeight="1">
      <c r="A2812" s="500">
        <v>280</v>
      </c>
      <c r="B2812" s="500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22">
        <v>1.34E-3</v>
      </c>
      <c r="J2812" s="523"/>
      <c r="K2812" s="267">
        <v>1.99E-3</v>
      </c>
      <c r="L2812" s="267">
        <v>3.5400000000000002E-3</v>
      </c>
      <c r="M2812" s="267">
        <v>5.1700000000000001E-3</v>
      </c>
      <c r="N2812" s="463"/>
    </row>
    <row r="2813" spans="1:14" ht="12.3" customHeight="1">
      <c r="A2813" s="500">
        <v>315</v>
      </c>
      <c r="B2813" s="500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22">
        <v>1.1199999999999999E-3</v>
      </c>
      <c r="J2813" s="523"/>
      <c r="K2813" s="267">
        <v>1.65E-3</v>
      </c>
      <c r="L2813" s="267">
        <v>3.0400000000000002E-3</v>
      </c>
      <c r="M2813" s="267">
        <v>4.3499999999999997E-3</v>
      </c>
      <c r="N2813" s="463"/>
    </row>
    <row r="2814" spans="1:14" ht="12" customHeight="1">
      <c r="A2814" s="500">
        <v>355</v>
      </c>
      <c r="B2814" s="500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22">
        <v>9.7000000000000005E-4</v>
      </c>
      <c r="J2814" s="523"/>
      <c r="K2814" s="267">
        <v>1.3600000000000001E-3</v>
      </c>
      <c r="L2814" s="267">
        <v>2.5200000000000001E-3</v>
      </c>
      <c r="M2814" s="267">
        <v>3.5999999999999999E-3</v>
      </c>
      <c r="N2814" s="463"/>
    </row>
    <row r="2815" spans="1:14" ht="12.3" customHeight="1">
      <c r="A2815" s="500">
        <v>400</v>
      </c>
      <c r="B2815" s="500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24" t="s">
        <v>1</v>
      </c>
      <c r="J2815" s="525"/>
      <c r="K2815" s="267">
        <v>1.14E-3</v>
      </c>
      <c r="L2815" s="79" t="s">
        <v>1</v>
      </c>
      <c r="M2815" s="267">
        <v>3.0899999999999999E-3</v>
      </c>
      <c r="N2815" s="463"/>
    </row>
    <row r="2816" spans="1:14" ht="12" customHeight="1">
      <c r="A2816" s="480">
        <v>450</v>
      </c>
      <c r="B2816" s="480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36" t="s">
        <v>1</v>
      </c>
      <c r="J2816" s="537"/>
      <c r="K2816" s="270">
        <v>9.7999999999999997E-4</v>
      </c>
      <c r="L2816" s="16" t="s">
        <v>1</v>
      </c>
      <c r="M2816" s="270">
        <v>2.5600000000000002E-3</v>
      </c>
      <c r="N2816" s="463"/>
    </row>
    <row r="2818" spans="1:15" ht="29.7" customHeight="1">
      <c r="A2818" s="477" t="s">
        <v>517</v>
      </c>
      <c r="B2818" s="477"/>
      <c r="C2818" s="477"/>
      <c r="D2818" s="477"/>
      <c r="E2818" s="477"/>
      <c r="F2818" s="477"/>
      <c r="G2818" s="477"/>
      <c r="H2818" s="477"/>
      <c r="I2818" s="477"/>
      <c r="J2818" s="477"/>
      <c r="K2818" s="477"/>
      <c r="L2818" s="477"/>
      <c r="M2818" s="477"/>
      <c r="N2818" s="477"/>
      <c r="O2818" s="477"/>
    </row>
    <row r="2819" spans="1:15" ht="12.3" customHeight="1">
      <c r="A2819" s="515" t="s">
        <v>14</v>
      </c>
      <c r="B2819" s="515"/>
      <c r="C2819" s="515"/>
      <c r="D2819" s="515"/>
      <c r="E2819" s="515"/>
      <c r="F2819" s="515"/>
      <c r="G2819" s="515"/>
      <c r="H2819" s="515"/>
      <c r="I2819" s="515"/>
      <c r="J2819" s="515"/>
      <c r="K2819" s="515"/>
      <c r="L2819" s="515"/>
      <c r="M2819" s="515"/>
      <c r="N2819" s="515"/>
    </row>
    <row r="2820" spans="1:15" ht="12" customHeight="1">
      <c r="A2820" s="505" t="s">
        <v>521</v>
      </c>
      <c r="B2820" s="505"/>
      <c r="C2820" s="506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20">
        <v>19</v>
      </c>
      <c r="J2820" s="521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501">
        <v>1.25</v>
      </c>
      <c r="B2821" s="501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16" t="s">
        <v>1</v>
      </c>
      <c r="J2821" s="517"/>
      <c r="K2821" s="14" t="s">
        <v>1</v>
      </c>
      <c r="L2821" s="14" t="s">
        <v>1</v>
      </c>
      <c r="M2821" s="14" t="s">
        <v>1</v>
      </c>
      <c r="N2821" s="456" t="s">
        <v>175</v>
      </c>
    </row>
    <row r="2822" spans="1:15" ht="12" customHeight="1">
      <c r="A2822" s="502">
        <v>1.4</v>
      </c>
      <c r="B2822" s="502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16" t="s">
        <v>1</v>
      </c>
      <c r="J2822" s="517"/>
      <c r="K2822" s="14" t="s">
        <v>1</v>
      </c>
      <c r="L2822" s="14" t="s">
        <v>1</v>
      </c>
      <c r="M2822" s="14" t="s">
        <v>1</v>
      </c>
      <c r="N2822" s="457"/>
    </row>
    <row r="2823" spans="1:15" ht="12.3" customHeight="1">
      <c r="A2823" s="502">
        <v>1.6</v>
      </c>
      <c r="B2823" s="502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16" t="s">
        <v>1</v>
      </c>
      <c r="J2823" s="517"/>
      <c r="K2823" s="14" t="s">
        <v>1</v>
      </c>
      <c r="L2823" s="14" t="s">
        <v>1</v>
      </c>
      <c r="M2823" s="14" t="s">
        <v>1</v>
      </c>
      <c r="N2823" s="457"/>
    </row>
    <row r="2824" spans="1:15" ht="12" customHeight="1">
      <c r="A2824" s="502">
        <v>1.8</v>
      </c>
      <c r="B2824" s="502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16" t="s">
        <v>1</v>
      </c>
      <c r="J2824" s="517"/>
      <c r="K2824" s="14" t="s">
        <v>1</v>
      </c>
      <c r="L2824" s="14" t="s">
        <v>1</v>
      </c>
      <c r="M2824" s="14" t="s">
        <v>1</v>
      </c>
      <c r="N2824" s="457"/>
    </row>
    <row r="2825" spans="1:15" ht="12.3" customHeight="1">
      <c r="A2825" s="502">
        <v>2</v>
      </c>
      <c r="B2825" s="502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16" t="s">
        <v>1</v>
      </c>
      <c r="J2825" s="517"/>
      <c r="K2825" s="14" t="s">
        <v>1</v>
      </c>
      <c r="L2825" s="14" t="s">
        <v>1</v>
      </c>
      <c r="M2825" s="14" t="s">
        <v>1</v>
      </c>
      <c r="N2825" s="457"/>
    </row>
    <row r="2826" spans="1:15" ht="12" customHeight="1">
      <c r="A2826" s="501">
        <v>2.2400000000000002</v>
      </c>
      <c r="B2826" s="501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16" t="s">
        <v>1</v>
      </c>
      <c r="J2826" s="517"/>
      <c r="K2826" s="14" t="s">
        <v>1</v>
      </c>
      <c r="L2826" s="14" t="s">
        <v>1</v>
      </c>
      <c r="M2826" s="14" t="s">
        <v>1</v>
      </c>
      <c r="N2826" s="457"/>
    </row>
    <row r="2827" spans="1:15" ht="12.3" customHeight="1">
      <c r="A2827" s="502">
        <v>2.5</v>
      </c>
      <c r="B2827" s="502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16" t="s">
        <v>1</v>
      </c>
      <c r="J2827" s="517"/>
      <c r="K2827" s="14" t="s">
        <v>1</v>
      </c>
      <c r="L2827" s="14" t="s">
        <v>1</v>
      </c>
      <c r="M2827" s="14" t="s">
        <v>1</v>
      </c>
      <c r="N2827" s="457"/>
    </row>
    <row r="2828" spans="1:15" ht="12" customHeight="1">
      <c r="A2828" s="502">
        <v>2.8</v>
      </c>
      <c r="B2828" s="502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16" t="s">
        <v>1</v>
      </c>
      <c r="J2828" s="517"/>
      <c r="K2828" s="14" t="s">
        <v>1</v>
      </c>
      <c r="L2828" s="14" t="s">
        <v>1</v>
      </c>
      <c r="M2828" s="14" t="s">
        <v>1</v>
      </c>
      <c r="N2828" s="457"/>
    </row>
    <row r="2829" spans="1:15" ht="12.3" customHeight="1">
      <c r="A2829" s="501">
        <v>3.15</v>
      </c>
      <c r="B2829" s="501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16" t="s">
        <v>1</v>
      </c>
      <c r="J2829" s="517"/>
      <c r="K2829" s="14" t="s">
        <v>1</v>
      </c>
      <c r="L2829" s="14" t="s">
        <v>1</v>
      </c>
      <c r="M2829" s="14" t="s">
        <v>1</v>
      </c>
      <c r="N2829" s="457"/>
    </row>
    <row r="2830" spans="1:15" ht="12" customHeight="1">
      <c r="A2830" s="501">
        <v>3.55</v>
      </c>
      <c r="B2830" s="501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16" t="s">
        <v>1</v>
      </c>
      <c r="J2830" s="517"/>
      <c r="K2830" s="14" t="s">
        <v>1</v>
      </c>
      <c r="L2830" s="14" t="s">
        <v>1</v>
      </c>
      <c r="M2830" s="14" t="s">
        <v>1</v>
      </c>
      <c r="N2830" s="457"/>
    </row>
    <row r="2831" spans="1:15" ht="12.3" customHeight="1">
      <c r="A2831" s="502">
        <v>4</v>
      </c>
      <c r="B2831" s="502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38">
        <v>9.5227000000000004</v>
      </c>
      <c r="J2831" s="539"/>
      <c r="K2831" s="14" t="s">
        <v>1</v>
      </c>
      <c r="L2831" s="14" t="s">
        <v>1</v>
      </c>
      <c r="M2831" s="14" t="s">
        <v>1</v>
      </c>
      <c r="N2831" s="457"/>
    </row>
    <row r="2832" spans="1:15" ht="12" customHeight="1">
      <c r="A2832" s="502">
        <v>4.5</v>
      </c>
      <c r="B2832" s="502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38">
        <v>7.8748899999999997</v>
      </c>
      <c r="J2832" s="539"/>
      <c r="K2832" s="14" t="s">
        <v>1</v>
      </c>
      <c r="L2832" s="14" t="s">
        <v>1</v>
      </c>
      <c r="M2832" s="14" t="s">
        <v>1</v>
      </c>
      <c r="N2832" s="457"/>
    </row>
    <row r="2833" spans="1:14" ht="12.3" customHeight="1">
      <c r="A2833" s="502">
        <v>5</v>
      </c>
      <c r="B2833" s="502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38">
        <v>6.6604400000000004</v>
      </c>
      <c r="J2833" s="539"/>
      <c r="K2833" s="14" t="s">
        <v>1</v>
      </c>
      <c r="L2833" s="14" t="s">
        <v>1</v>
      </c>
      <c r="M2833" s="14" t="s">
        <v>1</v>
      </c>
      <c r="N2833" s="457"/>
    </row>
    <row r="2834" spans="1:14" ht="12" customHeight="1">
      <c r="A2834" s="502">
        <v>5.6</v>
      </c>
      <c r="B2834" s="502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38">
        <v>5.5047300000000003</v>
      </c>
      <c r="J2834" s="539"/>
      <c r="K2834" s="14" t="s">
        <v>1</v>
      </c>
      <c r="L2834" s="14" t="s">
        <v>1</v>
      </c>
      <c r="M2834" s="14" t="s">
        <v>1</v>
      </c>
      <c r="N2834" s="457"/>
    </row>
    <row r="2835" spans="1:14" ht="12.3" customHeight="1">
      <c r="A2835" s="509" t="s">
        <v>519</v>
      </c>
      <c r="B2835" s="509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32">
        <v>0.69</v>
      </c>
      <c r="J2835" s="533"/>
      <c r="K2835" s="14" t="s">
        <v>1</v>
      </c>
      <c r="L2835" s="14" t="s">
        <v>1</v>
      </c>
      <c r="M2835" s="14" t="s">
        <v>1</v>
      </c>
      <c r="N2835" s="461"/>
    </row>
    <row r="2836" spans="1:14" ht="12" customHeight="1">
      <c r="A2836" s="502">
        <v>6.3</v>
      </c>
      <c r="B2836" s="502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22">
        <v>10.62628</v>
      </c>
      <c r="J2836" s="523"/>
      <c r="K2836" s="79" t="s">
        <v>1</v>
      </c>
      <c r="L2836" s="267">
        <v>14.12289</v>
      </c>
      <c r="M2836" s="79" t="s">
        <v>1</v>
      </c>
      <c r="N2836" s="462" t="s">
        <v>71</v>
      </c>
    </row>
    <row r="2837" spans="1:14" ht="12.3" customHeight="1">
      <c r="A2837" s="502">
        <v>7.1</v>
      </c>
      <c r="B2837" s="502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40">
        <v>9.3288899999999995</v>
      </c>
      <c r="J2837" s="541"/>
      <c r="K2837" s="267">
        <v>11.42554</v>
      </c>
      <c r="L2837" s="267">
        <v>12.30855</v>
      </c>
      <c r="M2837" s="267">
        <v>15.249650000000001</v>
      </c>
      <c r="N2837" s="463"/>
    </row>
    <row r="2838" spans="1:14" ht="12" customHeight="1">
      <c r="A2838" s="502">
        <v>8</v>
      </c>
      <c r="B2838" s="502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40">
        <v>8.1765600000000003</v>
      </c>
      <c r="J2838" s="541"/>
      <c r="K2838" s="272">
        <v>9.9802900000000001</v>
      </c>
      <c r="L2838" s="267">
        <v>10.71777</v>
      </c>
      <c r="M2838" s="267">
        <v>13.22687</v>
      </c>
      <c r="N2838" s="463"/>
    </row>
    <row r="2839" spans="1:14" ht="12.3" customHeight="1">
      <c r="A2839" s="502">
        <v>9</v>
      </c>
      <c r="B2839" s="502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40">
        <v>7.1470599999999997</v>
      </c>
      <c r="J2839" s="541"/>
      <c r="K2839" s="272">
        <v>8.7041900000000005</v>
      </c>
      <c r="L2839" s="272">
        <v>9.3158399999999997</v>
      </c>
      <c r="M2839" s="267">
        <v>11.461600000000001</v>
      </c>
      <c r="N2839" s="463"/>
    </row>
    <row r="2840" spans="1:14" ht="12" customHeight="1">
      <c r="A2840" s="500">
        <v>10</v>
      </c>
      <c r="B2840" s="500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40">
        <v>6.2785700000000002</v>
      </c>
      <c r="J2840" s="541"/>
      <c r="K2840" s="272">
        <v>7.57118</v>
      </c>
      <c r="L2840" s="272">
        <v>8.1494599999999995</v>
      </c>
      <c r="M2840" s="272">
        <v>9.9137400000000007</v>
      </c>
      <c r="N2840" s="463"/>
    </row>
    <row r="2841" spans="1:14" ht="12.3" customHeight="1">
      <c r="A2841" s="502">
        <v>11.2</v>
      </c>
      <c r="B2841" s="502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40">
        <v>5.52433</v>
      </c>
      <c r="J2841" s="541"/>
      <c r="K2841" s="272">
        <v>6.6213199999999999</v>
      </c>
      <c r="L2841" s="272">
        <v>7.1478900000000003</v>
      </c>
      <c r="M2841" s="272">
        <v>8.6326499999999999</v>
      </c>
      <c r="N2841" s="463"/>
    </row>
    <row r="2842" spans="1:14" ht="12" customHeight="1">
      <c r="A2842" s="502">
        <v>12.5</v>
      </c>
      <c r="B2842" s="502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40">
        <v>4.4485200000000003</v>
      </c>
      <c r="J2842" s="541"/>
      <c r="K2842" s="272">
        <v>5.8013899999999996</v>
      </c>
      <c r="L2842" s="272">
        <v>5.6757900000000001</v>
      </c>
      <c r="M2842" s="272">
        <v>7.5384799999999998</v>
      </c>
      <c r="N2842" s="463"/>
    </row>
    <row r="2843" spans="1:14" ht="12.3" customHeight="1">
      <c r="A2843" s="500">
        <v>14</v>
      </c>
      <c r="B2843" s="500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40">
        <v>3.81731</v>
      </c>
      <c r="J2843" s="541"/>
      <c r="K2843" s="272">
        <v>4.67</v>
      </c>
      <c r="L2843" s="272">
        <v>4.8601200000000002</v>
      </c>
      <c r="M2843" s="272">
        <v>5.9880199999999997</v>
      </c>
      <c r="N2843" s="463"/>
    </row>
    <row r="2844" spans="1:14" ht="12" customHeight="1">
      <c r="A2844" s="500">
        <v>16</v>
      </c>
      <c r="B2844" s="500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40">
        <v>3.2398099999999999</v>
      </c>
      <c r="J2844" s="541"/>
      <c r="K2844" s="272">
        <v>3.9919699999999998</v>
      </c>
      <c r="L2844" s="272">
        <v>4.1252599999999999</v>
      </c>
      <c r="M2844" s="272">
        <v>5.1063499999999999</v>
      </c>
      <c r="N2844" s="463"/>
    </row>
    <row r="2845" spans="1:14" ht="12.3" customHeight="1">
      <c r="A2845" s="500">
        <v>18</v>
      </c>
      <c r="B2845" s="500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40">
        <v>2.59172</v>
      </c>
      <c r="J2845" s="541"/>
      <c r="K2845" s="272">
        <v>3.3752599999999999</v>
      </c>
      <c r="L2845" s="272">
        <v>3.2702800000000001</v>
      </c>
      <c r="M2845" s="272">
        <v>4.3162099999999999</v>
      </c>
      <c r="N2845" s="463"/>
    </row>
    <row r="2846" spans="1:14" ht="12" customHeight="1">
      <c r="A2846" s="500">
        <v>20</v>
      </c>
      <c r="B2846" s="500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40">
        <v>2.2454800000000001</v>
      </c>
      <c r="J2846" s="541"/>
      <c r="K2846" s="272">
        <v>2.69238</v>
      </c>
      <c r="L2846" s="272">
        <v>2.8140100000000001</v>
      </c>
      <c r="M2846" s="272">
        <v>3.4121899999999998</v>
      </c>
      <c r="N2846" s="463"/>
    </row>
    <row r="2847" spans="1:14" ht="12.3" customHeight="1">
      <c r="A2847" s="502">
        <v>22.4</v>
      </c>
      <c r="B2847" s="502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24" t="s">
        <v>1</v>
      </c>
      <c r="J2847" s="525"/>
      <c r="K2847" s="272">
        <v>2.3266200000000001</v>
      </c>
      <c r="L2847" s="79" t="s">
        <v>1</v>
      </c>
      <c r="M2847" s="272">
        <v>2.9283999999999999</v>
      </c>
      <c r="N2847" s="463"/>
    </row>
    <row r="2848" spans="1:14" ht="12" customHeight="1">
      <c r="A2848" s="500">
        <v>25</v>
      </c>
      <c r="B2848" s="500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24" t="s">
        <v>1</v>
      </c>
      <c r="J2848" s="525"/>
      <c r="K2848" s="79" t="s">
        <v>1</v>
      </c>
      <c r="L2848" s="79" t="s">
        <v>1</v>
      </c>
      <c r="M2848" s="79" t="s">
        <v>1</v>
      </c>
      <c r="N2848" s="463"/>
    </row>
    <row r="2849" spans="1:15" ht="12.3" customHeight="1">
      <c r="A2849" s="500">
        <v>28</v>
      </c>
      <c r="B2849" s="500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24" t="s">
        <v>1</v>
      </c>
      <c r="J2849" s="525"/>
      <c r="K2849" s="79" t="s">
        <v>1</v>
      </c>
      <c r="L2849" s="79" t="s">
        <v>1</v>
      </c>
      <c r="M2849" s="79" t="s">
        <v>1</v>
      </c>
      <c r="N2849" s="463"/>
    </row>
    <row r="2850" spans="1:15" ht="12" customHeight="1">
      <c r="A2850" s="542" t="s">
        <v>522</v>
      </c>
      <c r="B2850" s="542"/>
      <c r="C2850" s="543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44">
        <v>0.69</v>
      </c>
      <c r="J2850" s="545"/>
      <c r="K2850" s="269">
        <v>0.69</v>
      </c>
      <c r="L2850" s="269">
        <v>0.69</v>
      </c>
      <c r="M2850" s="269">
        <v>0.69</v>
      </c>
      <c r="N2850" s="463"/>
    </row>
    <row r="2852" spans="1:15" ht="29.7" customHeight="1">
      <c r="A2852" s="477" t="s">
        <v>517</v>
      </c>
      <c r="B2852" s="477"/>
      <c r="C2852" s="477"/>
      <c r="D2852" s="477"/>
      <c r="E2852" s="477"/>
      <c r="F2852" s="477"/>
      <c r="G2852" s="477"/>
      <c r="H2852" s="477"/>
      <c r="I2852" s="477"/>
      <c r="J2852" s="477"/>
      <c r="K2852" s="477"/>
      <c r="L2852" s="477"/>
      <c r="M2852" s="477"/>
      <c r="N2852" s="477"/>
      <c r="O2852" s="477"/>
    </row>
    <row r="2853" spans="1:15" ht="12.3" customHeight="1">
      <c r="A2853" s="515" t="s">
        <v>14</v>
      </c>
      <c r="B2853" s="515"/>
      <c r="C2853" s="515"/>
      <c r="D2853" s="515"/>
      <c r="E2853" s="515"/>
      <c r="F2853" s="515"/>
      <c r="G2853" s="515"/>
      <c r="H2853" s="515"/>
      <c r="I2853" s="515"/>
      <c r="J2853" s="515"/>
      <c r="K2853" s="515"/>
      <c r="L2853" s="515"/>
      <c r="M2853" s="515"/>
      <c r="N2853" s="515"/>
    </row>
    <row r="2854" spans="1:15" ht="12" customHeight="1">
      <c r="A2854" s="505" t="s">
        <v>521</v>
      </c>
      <c r="B2854" s="505"/>
      <c r="C2854" s="506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20">
        <v>19</v>
      </c>
      <c r="J2854" s="521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502">
        <v>22.4</v>
      </c>
      <c r="B2855" s="502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26">
        <v>1.65788</v>
      </c>
      <c r="J2855" s="527"/>
      <c r="K2855" s="14" t="s">
        <v>1</v>
      </c>
      <c r="L2855" s="264">
        <v>3.7341000000000002</v>
      </c>
      <c r="M2855" s="14" t="s">
        <v>1</v>
      </c>
      <c r="N2855" s="456" t="s">
        <v>72</v>
      </c>
    </row>
    <row r="2856" spans="1:15" ht="12" customHeight="1">
      <c r="A2856" s="513">
        <v>25</v>
      </c>
      <c r="B2856" s="513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26">
        <v>1.33246</v>
      </c>
      <c r="J2856" s="527"/>
      <c r="K2856" s="264">
        <v>1.7271099999999999</v>
      </c>
      <c r="L2856" s="264">
        <v>3.0325799999999998</v>
      </c>
      <c r="M2856" s="264">
        <v>3.82925</v>
      </c>
      <c r="N2856" s="457"/>
    </row>
    <row r="2857" spans="1:15" ht="12.3" customHeight="1">
      <c r="A2857" s="513">
        <v>28</v>
      </c>
      <c r="B2857" s="513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26">
        <v>1.1517299999999999</v>
      </c>
      <c r="J2857" s="527"/>
      <c r="K2857" s="264">
        <v>1.38384</v>
      </c>
      <c r="L2857" s="264">
        <v>2.6382099999999999</v>
      </c>
      <c r="M2857" s="264">
        <v>3.1038899999999998</v>
      </c>
      <c r="N2857" s="457"/>
    </row>
    <row r="2858" spans="1:15" ht="12" customHeight="1">
      <c r="A2858" s="502">
        <v>31.5</v>
      </c>
      <c r="B2858" s="502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26">
        <v>0.99456999999999995</v>
      </c>
      <c r="J2858" s="527"/>
      <c r="K2858" s="264">
        <v>1.1936100000000001</v>
      </c>
      <c r="L2858" s="264">
        <v>2.2919399999999999</v>
      </c>
      <c r="M2858" s="264">
        <v>2.6967300000000001</v>
      </c>
      <c r="N2858" s="457"/>
    </row>
    <row r="2859" spans="1:15" ht="12.3" customHeight="1">
      <c r="A2859" s="502">
        <v>35.5</v>
      </c>
      <c r="B2859" s="502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26">
        <v>0.85729999999999995</v>
      </c>
      <c r="J2859" s="527"/>
      <c r="K2859" s="264">
        <v>1.0285</v>
      </c>
      <c r="L2859" s="264">
        <v>1.98651</v>
      </c>
      <c r="M2859" s="264">
        <v>2.33968</v>
      </c>
      <c r="N2859" s="457"/>
    </row>
    <row r="2860" spans="1:15" ht="12" customHeight="1">
      <c r="A2860" s="513">
        <v>40</v>
      </c>
      <c r="B2860" s="513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26">
        <v>0.73692000000000002</v>
      </c>
      <c r="J2860" s="527"/>
      <c r="K2860" s="264">
        <v>0.88456999999999997</v>
      </c>
      <c r="L2860" s="264">
        <v>1.7159899999999999</v>
      </c>
      <c r="M2860" s="264">
        <v>2.0251800000000002</v>
      </c>
      <c r="N2860" s="457"/>
    </row>
    <row r="2861" spans="1:15" ht="12.3" customHeight="1">
      <c r="A2861" s="513">
        <v>45</v>
      </c>
      <c r="B2861" s="513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26">
        <v>0.65395999999999999</v>
      </c>
      <c r="J2861" s="527"/>
      <c r="K2861" s="264">
        <v>0.75863000000000003</v>
      </c>
      <c r="L2861" s="264">
        <v>1.4755400000000001</v>
      </c>
      <c r="M2861" s="264">
        <v>1.7470300000000001</v>
      </c>
      <c r="N2861" s="457"/>
    </row>
    <row r="2862" spans="1:15" ht="12" customHeight="1">
      <c r="A2862" s="513">
        <v>50</v>
      </c>
      <c r="B2862" s="513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26">
        <v>0.46753</v>
      </c>
      <c r="J2862" s="527"/>
      <c r="K2862" s="264">
        <v>0.67201999999999995</v>
      </c>
      <c r="L2862" s="264">
        <v>1.20329</v>
      </c>
      <c r="M2862" s="264">
        <v>1.5002</v>
      </c>
      <c r="N2862" s="457"/>
    </row>
    <row r="2863" spans="1:15" ht="12.3" customHeight="1">
      <c r="A2863" s="513">
        <v>56</v>
      </c>
      <c r="B2863" s="513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26">
        <v>0.39842</v>
      </c>
      <c r="J2863" s="527"/>
      <c r="K2863" s="264">
        <v>0.48071000000000003</v>
      </c>
      <c r="L2863" s="264">
        <v>1.01816</v>
      </c>
      <c r="M2863" s="264">
        <v>1.22342</v>
      </c>
      <c r="N2863" s="457"/>
    </row>
    <row r="2864" spans="1:15" ht="12" customHeight="1">
      <c r="A2864" s="513">
        <v>63</v>
      </c>
      <c r="B2864" s="513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26">
        <v>0.33618999999999999</v>
      </c>
      <c r="J2864" s="527"/>
      <c r="K2864" s="264">
        <v>0.40894999999999998</v>
      </c>
      <c r="L2864" s="264">
        <v>0.86936999999999998</v>
      </c>
      <c r="M2864" s="264">
        <v>1.0339499999999999</v>
      </c>
      <c r="N2864" s="457"/>
    </row>
    <row r="2865" spans="1:14" ht="12.3" customHeight="1">
      <c r="A2865" s="513">
        <v>71</v>
      </c>
      <c r="B2865" s="513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26">
        <v>0.28899000000000002</v>
      </c>
      <c r="J2865" s="527"/>
      <c r="K2865" s="264">
        <v>0.34445999999999999</v>
      </c>
      <c r="L2865" s="264">
        <v>0.69699</v>
      </c>
      <c r="M2865" s="264">
        <v>0.88188999999999995</v>
      </c>
      <c r="N2865" s="457"/>
    </row>
    <row r="2866" spans="1:14" ht="12" customHeight="1">
      <c r="A2866" s="513">
        <v>80</v>
      </c>
      <c r="B2866" s="513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26">
        <v>0.24204999999999999</v>
      </c>
      <c r="J2866" s="527"/>
      <c r="K2866" s="264">
        <v>0.29605999999999999</v>
      </c>
      <c r="L2866" s="264">
        <v>0.55340999999999996</v>
      </c>
      <c r="M2866" s="264">
        <v>0.70676000000000005</v>
      </c>
      <c r="N2866" s="457"/>
    </row>
    <row r="2867" spans="1:14" ht="12.3" customHeight="1">
      <c r="A2867" s="513">
        <v>90</v>
      </c>
      <c r="B2867" s="513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26">
        <v>0.19750999999999999</v>
      </c>
      <c r="J2867" s="527"/>
      <c r="K2867" s="264">
        <v>0.24759</v>
      </c>
      <c r="L2867" s="264">
        <v>0.50692000000000004</v>
      </c>
      <c r="M2867" s="264">
        <v>0.56061000000000005</v>
      </c>
      <c r="N2867" s="457"/>
    </row>
    <row r="2868" spans="1:14" ht="12" customHeight="1">
      <c r="A2868" s="500">
        <v>100</v>
      </c>
      <c r="B2868" s="500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16" t="s">
        <v>1</v>
      </c>
      <c r="J2868" s="517"/>
      <c r="K2868" s="264">
        <v>0.20171</v>
      </c>
      <c r="L2868" s="14" t="s">
        <v>1</v>
      </c>
      <c r="M2868" s="264">
        <v>0.51329999999999998</v>
      </c>
      <c r="N2868" s="457"/>
    </row>
    <row r="2869" spans="1:14" ht="12.3" customHeight="1">
      <c r="A2869" s="500">
        <v>112</v>
      </c>
      <c r="B2869" s="500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16" t="s">
        <v>1</v>
      </c>
      <c r="J2869" s="517"/>
      <c r="K2869" s="14" t="s">
        <v>1</v>
      </c>
      <c r="L2869" s="14" t="s">
        <v>1</v>
      </c>
      <c r="M2869" s="14" t="s">
        <v>1</v>
      </c>
      <c r="N2869" s="457"/>
    </row>
    <row r="2870" spans="1:14" ht="12" customHeight="1">
      <c r="A2870" s="509" t="s">
        <v>519</v>
      </c>
      <c r="B2870" s="509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34"/>
      <c r="J2870" s="535"/>
      <c r="K2870" s="273"/>
      <c r="L2870" s="273"/>
      <c r="M2870" s="273"/>
      <c r="N2870" s="461"/>
    </row>
    <row r="2871" spans="1:14" ht="12.3" customHeight="1">
      <c r="A2871" s="500">
        <v>100</v>
      </c>
      <c r="B2871" s="500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22">
        <v>0.23894000000000001</v>
      </c>
      <c r="J2871" s="523"/>
      <c r="K2871" s="79" t="s">
        <v>1</v>
      </c>
      <c r="L2871" s="267">
        <v>0.60938999999999999</v>
      </c>
      <c r="M2871" s="79" t="s">
        <v>1</v>
      </c>
      <c r="N2871" s="462" t="s">
        <v>73</v>
      </c>
    </row>
    <row r="2872" spans="1:14" ht="12" customHeight="1">
      <c r="A2872" s="500">
        <v>112</v>
      </c>
      <c r="B2872" s="500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22">
        <v>0.19488</v>
      </c>
      <c r="J2872" s="523"/>
      <c r="K2872" s="267">
        <v>0.24221999999999999</v>
      </c>
      <c r="L2872" s="267">
        <v>0.52729000000000004</v>
      </c>
      <c r="M2872" s="267">
        <v>0.61424999999999996</v>
      </c>
      <c r="N2872" s="463"/>
    </row>
    <row r="2873" spans="1:14" ht="12.3" customHeight="1">
      <c r="A2873" s="500">
        <v>125</v>
      </c>
      <c r="B2873" s="500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22">
        <v>0.16925000000000001</v>
      </c>
      <c r="J2873" s="523"/>
      <c r="K2873" s="267">
        <v>0.19732</v>
      </c>
      <c r="L2873" s="267">
        <v>0.45584000000000002</v>
      </c>
      <c r="M2873" s="267">
        <v>0.53127000000000002</v>
      </c>
      <c r="N2873" s="463"/>
    </row>
    <row r="2874" spans="1:14" ht="12" customHeight="1">
      <c r="A2874" s="500">
        <v>140</v>
      </c>
      <c r="B2874" s="500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22">
        <v>0.14680000000000001</v>
      </c>
      <c r="J2874" s="523"/>
      <c r="K2874" s="267">
        <v>0.17125000000000001</v>
      </c>
      <c r="L2874" s="267">
        <v>0.36515999999999998</v>
      </c>
      <c r="M2874" s="267">
        <v>0.45909</v>
      </c>
      <c r="N2874" s="463"/>
    </row>
    <row r="2875" spans="1:14" ht="12.3" customHeight="1">
      <c r="A2875" s="500">
        <v>160</v>
      </c>
      <c r="B2875" s="500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22">
        <v>0.12654000000000001</v>
      </c>
      <c r="J2875" s="523"/>
      <c r="K2875" s="267">
        <v>0.14842</v>
      </c>
      <c r="L2875" s="267">
        <v>0.31381999999999999</v>
      </c>
      <c r="M2875" s="267">
        <v>0.36751</v>
      </c>
      <c r="N2875" s="463"/>
    </row>
    <row r="2876" spans="1:14" ht="12" customHeight="1">
      <c r="A2876" s="500">
        <v>180</v>
      </c>
      <c r="B2876" s="500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22">
        <v>0.10759000000000001</v>
      </c>
      <c r="J2876" s="523"/>
      <c r="K2876" s="267">
        <v>0.12784999999999999</v>
      </c>
      <c r="L2876" s="267">
        <v>0.28076000000000001</v>
      </c>
      <c r="M2876" s="267">
        <v>0.31569999999999998</v>
      </c>
      <c r="N2876" s="463"/>
    </row>
    <row r="2877" spans="1:14" ht="12.3" customHeight="1">
      <c r="A2877" s="500">
        <v>200</v>
      </c>
      <c r="B2877" s="500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22">
        <v>8.1500000000000003E-2</v>
      </c>
      <c r="J2877" s="523"/>
      <c r="K2877" s="267">
        <v>0.10861999999999999</v>
      </c>
      <c r="L2877" s="267">
        <v>0.21559</v>
      </c>
      <c r="M2877" s="267">
        <v>0.28234999999999999</v>
      </c>
      <c r="N2877" s="463"/>
    </row>
    <row r="2878" spans="1:14" ht="12" customHeight="1">
      <c r="A2878" s="500">
        <v>224</v>
      </c>
      <c r="B2878" s="500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22">
        <v>6.8510000000000001E-2</v>
      </c>
      <c r="J2878" s="523"/>
      <c r="K2878" s="267">
        <v>8.2309999999999994E-2</v>
      </c>
      <c r="L2878" s="267">
        <v>0.18182999999999999</v>
      </c>
      <c r="M2878" s="267">
        <v>0.21687000000000001</v>
      </c>
      <c r="N2878" s="463"/>
    </row>
    <row r="2879" spans="1:14" ht="12.3" customHeight="1">
      <c r="A2879" s="500">
        <v>250</v>
      </c>
      <c r="B2879" s="500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22">
        <v>5.7279999999999998E-2</v>
      </c>
      <c r="J2879" s="523"/>
      <c r="K2879" s="267">
        <v>6.9150000000000003E-2</v>
      </c>
      <c r="L2879" s="267">
        <v>0.15057000000000001</v>
      </c>
      <c r="M2879" s="267">
        <v>0.18284</v>
      </c>
      <c r="N2879" s="463"/>
    </row>
    <row r="2880" spans="1:14" ht="12" customHeight="1">
      <c r="A2880" s="500">
        <v>280</v>
      </c>
      <c r="B2880" s="500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22">
        <v>4.6769999999999999E-2</v>
      </c>
      <c r="J2880" s="523"/>
      <c r="K2880" s="267">
        <v>5.7790000000000001E-2</v>
      </c>
      <c r="L2880" s="267">
        <v>0.12952</v>
      </c>
      <c r="M2880" s="267">
        <v>0.15135000000000001</v>
      </c>
      <c r="N2880" s="463"/>
    </row>
    <row r="2881" spans="1:15" ht="12.3" customHeight="1">
      <c r="A2881" s="500">
        <v>315</v>
      </c>
      <c r="B2881" s="500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22">
        <v>4.283E-2</v>
      </c>
      <c r="J2881" s="523"/>
      <c r="K2881" s="267">
        <v>4.7160000000000001E-2</v>
      </c>
      <c r="L2881" s="267">
        <v>0.10994</v>
      </c>
      <c r="M2881" s="267">
        <v>0.13017000000000001</v>
      </c>
      <c r="N2881" s="463"/>
    </row>
    <row r="2882" spans="1:15" ht="12" customHeight="1">
      <c r="A2882" s="500">
        <v>355</v>
      </c>
      <c r="B2882" s="500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22">
        <v>3.5720000000000002E-2</v>
      </c>
      <c r="J2882" s="523"/>
      <c r="K2882" s="267">
        <v>4.3180000000000003E-2</v>
      </c>
      <c r="L2882" s="267">
        <v>9.1719999999999996E-2</v>
      </c>
      <c r="M2882" s="267">
        <v>0.11046</v>
      </c>
      <c r="N2882" s="463"/>
    </row>
    <row r="2883" spans="1:15" ht="12.3" customHeight="1">
      <c r="A2883" s="500">
        <v>400</v>
      </c>
      <c r="B2883" s="500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24" t="s">
        <v>1</v>
      </c>
      <c r="J2883" s="525"/>
      <c r="K2883" s="267">
        <v>3.5990000000000001E-2</v>
      </c>
      <c r="L2883" s="79" t="s">
        <v>1</v>
      </c>
      <c r="M2883" s="267">
        <v>9.2130000000000004E-2</v>
      </c>
      <c r="N2883" s="463"/>
    </row>
    <row r="2884" spans="1:15" ht="12" customHeight="1">
      <c r="A2884" s="480">
        <v>450</v>
      </c>
      <c r="B2884" s="480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36" t="s">
        <v>1</v>
      </c>
      <c r="J2884" s="537"/>
      <c r="K2884" s="16" t="s">
        <v>1</v>
      </c>
      <c r="L2884" s="16" t="s">
        <v>1</v>
      </c>
      <c r="M2884" s="16" t="s">
        <v>1</v>
      </c>
      <c r="N2884" s="463"/>
    </row>
    <row r="2886" spans="1:15" ht="29.7" customHeight="1">
      <c r="A2886" s="477" t="s">
        <v>517</v>
      </c>
      <c r="B2886" s="477"/>
      <c r="C2886" s="477"/>
      <c r="D2886" s="477"/>
      <c r="E2886" s="477"/>
      <c r="F2886" s="477"/>
      <c r="G2886" s="477"/>
      <c r="H2886" s="477"/>
      <c r="I2886" s="477"/>
      <c r="J2886" s="477"/>
      <c r="K2886" s="477"/>
      <c r="L2886" s="477"/>
      <c r="M2886" s="477"/>
      <c r="N2886" s="477"/>
      <c r="O2886" s="477"/>
    </row>
    <row r="2887" spans="1:15" ht="12" customHeight="1">
      <c r="A2887" s="515" t="s">
        <v>14</v>
      </c>
      <c r="B2887" s="515"/>
      <c r="C2887" s="515"/>
      <c r="D2887" s="515"/>
      <c r="E2887" s="515"/>
      <c r="F2887" s="515"/>
      <c r="G2887" s="515"/>
      <c r="H2887" s="515"/>
      <c r="I2887" s="515"/>
      <c r="J2887" s="515"/>
      <c r="K2887" s="515"/>
      <c r="L2887" s="515"/>
      <c r="M2887" s="515"/>
    </row>
    <row r="2888" spans="1:15" ht="11.7" customHeight="1">
      <c r="A2888" s="505" t="s">
        <v>523</v>
      </c>
      <c r="B2888" s="505"/>
      <c r="C2888" s="506"/>
      <c r="D2888" s="33">
        <v>5</v>
      </c>
      <c r="E2888" s="33">
        <v>6</v>
      </c>
      <c r="F2888" s="33">
        <v>7</v>
      </c>
      <c r="G2888" s="33">
        <v>8</v>
      </c>
      <c r="H2888" s="520">
        <v>9</v>
      </c>
      <c r="I2888" s="521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502">
        <v>5</v>
      </c>
      <c r="B2889" s="502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26">
        <v>0.44627</v>
      </c>
      <c r="I2889" s="527"/>
      <c r="J2889" s="14" t="s">
        <v>1</v>
      </c>
      <c r="K2889" s="264">
        <v>1.2905800000000001</v>
      </c>
      <c r="L2889" s="14" t="s">
        <v>1</v>
      </c>
      <c r="M2889" s="456" t="s">
        <v>456</v>
      </c>
    </row>
    <row r="2890" spans="1:15" ht="12" customHeight="1">
      <c r="A2890" s="502">
        <v>5.6</v>
      </c>
      <c r="B2890" s="502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26">
        <v>0.37934000000000001</v>
      </c>
      <c r="I2890" s="527"/>
      <c r="J2890" s="14" t="s">
        <v>1</v>
      </c>
      <c r="K2890" s="264">
        <v>1.0825</v>
      </c>
      <c r="L2890" s="14" t="s">
        <v>1</v>
      </c>
      <c r="M2890" s="457"/>
    </row>
    <row r="2891" spans="1:15" ht="11.7" customHeight="1">
      <c r="A2891" s="502">
        <v>6.3</v>
      </c>
      <c r="B2891" s="502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26">
        <v>0.30248000000000003</v>
      </c>
      <c r="I2891" s="527"/>
      <c r="J2891" s="264">
        <v>0.50622</v>
      </c>
      <c r="K2891" s="264">
        <v>0.85265000000000002</v>
      </c>
      <c r="L2891" s="264">
        <v>1.48203</v>
      </c>
      <c r="M2891" s="457"/>
    </row>
    <row r="2892" spans="1:15" ht="11.7" customHeight="1">
      <c r="A2892" s="502">
        <v>7.1</v>
      </c>
      <c r="B2892" s="502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26">
        <v>0.25734000000000001</v>
      </c>
      <c r="I2892" s="527"/>
      <c r="J2892" s="264">
        <v>0.42923</v>
      </c>
      <c r="K2892" s="264">
        <v>0.73360000000000003</v>
      </c>
      <c r="L2892" s="264">
        <v>1.2324200000000001</v>
      </c>
      <c r="M2892" s="457"/>
    </row>
    <row r="2893" spans="1:15" ht="12" customHeight="1">
      <c r="A2893" s="502">
        <v>8</v>
      </c>
      <c r="B2893" s="502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26">
        <v>0.18973000000000001</v>
      </c>
      <c r="I2893" s="527"/>
      <c r="J2893" s="264">
        <v>0.33932000000000001</v>
      </c>
      <c r="K2893" s="264">
        <v>0.53110000000000002</v>
      </c>
      <c r="L2893" s="264">
        <v>0.96847000000000005</v>
      </c>
      <c r="M2893" s="457"/>
    </row>
    <row r="2894" spans="1:15" ht="11.7" customHeight="1">
      <c r="A2894" s="502">
        <v>9</v>
      </c>
      <c r="B2894" s="502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26">
        <v>0.17287</v>
      </c>
      <c r="I2894" s="527"/>
      <c r="J2894" s="264">
        <v>0.28749000000000002</v>
      </c>
      <c r="K2894" s="264">
        <v>0.48050999999999999</v>
      </c>
      <c r="L2894" s="264">
        <v>0.82632000000000005</v>
      </c>
      <c r="M2894" s="457"/>
    </row>
    <row r="2895" spans="1:15" ht="11.7" customHeight="1">
      <c r="A2895" s="513">
        <v>10</v>
      </c>
      <c r="B2895" s="513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26">
        <v>0.14613999999999999</v>
      </c>
      <c r="I2895" s="527"/>
      <c r="J2895" s="264">
        <v>0.21259</v>
      </c>
      <c r="K2895" s="264">
        <v>0.41113</v>
      </c>
      <c r="L2895" s="264">
        <v>0.60294999999999999</v>
      </c>
      <c r="M2895" s="457"/>
    </row>
    <row r="2896" spans="1:15" ht="12" customHeight="1">
      <c r="A2896" s="502">
        <v>11.2</v>
      </c>
      <c r="B2896" s="502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26">
        <v>0.12482</v>
      </c>
      <c r="I2896" s="527"/>
      <c r="J2896" s="264">
        <v>0.19220000000000001</v>
      </c>
      <c r="K2896" s="264">
        <v>0.35269</v>
      </c>
      <c r="L2896" s="264">
        <v>0.54127000000000003</v>
      </c>
      <c r="M2896" s="457"/>
    </row>
    <row r="2897" spans="1:13" ht="11.7" customHeight="1">
      <c r="A2897" s="502">
        <v>12.5</v>
      </c>
      <c r="B2897" s="502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16" t="s">
        <v>1</v>
      </c>
      <c r="I2897" s="517"/>
      <c r="J2897" s="264">
        <v>0.16084999999999999</v>
      </c>
      <c r="K2897" s="14" t="s">
        <v>1</v>
      </c>
      <c r="L2897" s="264">
        <v>0.45737</v>
      </c>
      <c r="M2897" s="457"/>
    </row>
    <row r="2898" spans="1:13" ht="11.7" customHeight="1">
      <c r="A2898" s="513">
        <v>14</v>
      </c>
      <c r="B2898" s="513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16" t="s">
        <v>1</v>
      </c>
      <c r="I2898" s="517"/>
      <c r="J2898" s="264">
        <v>0.13741</v>
      </c>
      <c r="K2898" s="14" t="s">
        <v>1</v>
      </c>
      <c r="L2898" s="264">
        <v>0.39227000000000001</v>
      </c>
      <c r="M2898" s="457"/>
    </row>
    <row r="2899" spans="1:13" ht="12" customHeight="1">
      <c r="A2899" s="509" t="s">
        <v>519</v>
      </c>
      <c r="B2899" s="509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32">
        <v>0.1</v>
      </c>
      <c r="I2899" s="533"/>
      <c r="J2899" s="266">
        <v>0.1</v>
      </c>
      <c r="K2899" s="266">
        <v>0.28999999999999998</v>
      </c>
      <c r="L2899" s="266">
        <v>0.28999999999999998</v>
      </c>
      <c r="M2899" s="461"/>
    </row>
    <row r="2900" spans="1:13" ht="11.7" customHeight="1">
      <c r="A2900" s="502">
        <v>12.5</v>
      </c>
      <c r="B2900" s="502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22">
        <v>0.10285</v>
      </c>
      <c r="I2900" s="523"/>
      <c r="J2900" s="79" t="s">
        <v>1</v>
      </c>
      <c r="K2900" s="267">
        <v>0.27616000000000002</v>
      </c>
      <c r="L2900" s="79" t="s">
        <v>1</v>
      </c>
      <c r="M2900" s="462" t="s">
        <v>336</v>
      </c>
    </row>
    <row r="2901" spans="1:13" ht="11.7" customHeight="1">
      <c r="A2901" s="513">
        <v>14</v>
      </c>
      <c r="B2901" s="513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22">
        <v>9.9989999999999996E-2</v>
      </c>
      <c r="I2901" s="523"/>
      <c r="J2901" s="79" t="s">
        <v>1</v>
      </c>
      <c r="K2901" s="267">
        <v>0.26878000000000002</v>
      </c>
      <c r="L2901" s="79" t="s">
        <v>1</v>
      </c>
      <c r="M2901" s="463"/>
    </row>
    <row r="2902" spans="1:13" ht="12" customHeight="1">
      <c r="A2902" s="513">
        <v>16</v>
      </c>
      <c r="B2902" s="513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22">
        <v>8.727E-2</v>
      </c>
      <c r="I2902" s="523"/>
      <c r="J2902" s="267">
        <v>0.11205</v>
      </c>
      <c r="K2902" s="267">
        <v>0.23571</v>
      </c>
      <c r="L2902" s="267">
        <v>0.30357000000000001</v>
      </c>
      <c r="M2902" s="463"/>
    </row>
    <row r="2903" spans="1:13" ht="11.7" customHeight="1">
      <c r="A2903" s="513">
        <v>18</v>
      </c>
      <c r="B2903" s="513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22">
        <v>8.5500000000000007E-2</v>
      </c>
      <c r="I2903" s="523"/>
      <c r="J2903" s="267">
        <v>0.1075</v>
      </c>
      <c r="K2903" s="267">
        <v>0.23105000000000001</v>
      </c>
      <c r="L2903" s="267">
        <v>0.29302</v>
      </c>
      <c r="M2903" s="463"/>
    </row>
    <row r="2904" spans="1:13" ht="11.7" customHeight="1">
      <c r="A2904" s="513">
        <v>20</v>
      </c>
      <c r="B2904" s="513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22">
        <v>7.9990000000000006E-2</v>
      </c>
      <c r="I2904" s="523"/>
      <c r="J2904" s="267">
        <v>9.2969999999999997E-2</v>
      </c>
      <c r="K2904" s="267">
        <v>0.21546999999999999</v>
      </c>
      <c r="L2904" s="267">
        <v>0.25301000000000001</v>
      </c>
      <c r="M2904" s="463"/>
    </row>
    <row r="2905" spans="1:13" ht="12" customHeight="1">
      <c r="A2905" s="502">
        <v>22.4</v>
      </c>
      <c r="B2905" s="502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22">
        <v>7.3289999999999994E-2</v>
      </c>
      <c r="I2905" s="523"/>
      <c r="J2905" s="267">
        <v>9.0149999999999994E-2</v>
      </c>
      <c r="K2905" s="267">
        <v>0.18296999999999999</v>
      </c>
      <c r="L2905" s="267">
        <v>0.24635000000000001</v>
      </c>
      <c r="M2905" s="463"/>
    </row>
    <row r="2906" spans="1:13" ht="11.7" customHeight="1">
      <c r="A2906" s="513">
        <v>25</v>
      </c>
      <c r="B2906" s="513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22">
        <v>6.0970000000000003E-2</v>
      </c>
      <c r="I2906" s="523"/>
      <c r="J2906" s="267">
        <v>8.3640000000000006E-2</v>
      </c>
      <c r="K2906" s="267">
        <v>0.14674999999999999</v>
      </c>
      <c r="L2906" s="267">
        <v>0.22733999999999999</v>
      </c>
      <c r="M2906" s="463"/>
    </row>
    <row r="2907" spans="1:13" ht="11.7" customHeight="1">
      <c r="A2907" s="513">
        <v>28</v>
      </c>
      <c r="B2907" s="513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22">
        <v>5.2060000000000002E-2</v>
      </c>
      <c r="I2907" s="523"/>
      <c r="J2907" s="267">
        <v>7.6329999999999995E-2</v>
      </c>
      <c r="K2907" s="267">
        <v>0.12605</v>
      </c>
      <c r="L2907" s="267">
        <v>0.19284999999999999</v>
      </c>
      <c r="M2907" s="463"/>
    </row>
    <row r="2908" spans="1:13" ht="12" customHeight="1">
      <c r="A2908" s="502">
        <v>31.5</v>
      </c>
      <c r="B2908" s="502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22">
        <v>4.011E-2</v>
      </c>
      <c r="I2908" s="523"/>
      <c r="J2908" s="267">
        <v>6.3219999999999998E-2</v>
      </c>
      <c r="K2908" s="267">
        <v>9.3890000000000001E-2</v>
      </c>
      <c r="L2908" s="267">
        <v>0.15404999999999999</v>
      </c>
      <c r="M2908" s="463"/>
    </row>
    <row r="2909" spans="1:13" ht="11.7" customHeight="1">
      <c r="A2909" s="502">
        <v>35.5</v>
      </c>
      <c r="B2909" s="502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22">
        <v>3.2750000000000001E-2</v>
      </c>
      <c r="I2909" s="523"/>
      <c r="J2909" s="267">
        <v>5.3900000000000003E-2</v>
      </c>
      <c r="K2909" s="267">
        <v>8.4010000000000001E-2</v>
      </c>
      <c r="L2909" s="267">
        <v>0.13203000000000001</v>
      </c>
      <c r="M2909" s="463"/>
    </row>
    <row r="2910" spans="1:13" ht="11.7" customHeight="1">
      <c r="A2910" s="513">
        <v>40</v>
      </c>
      <c r="B2910" s="513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22">
        <v>2.6599999999999999E-2</v>
      </c>
      <c r="I2910" s="523"/>
      <c r="J2910" s="267">
        <v>4.1680000000000002E-2</v>
      </c>
      <c r="K2910" s="267">
        <v>7.2249999999999995E-2</v>
      </c>
      <c r="L2910" s="267">
        <v>9.8419999999999994E-2</v>
      </c>
      <c r="M2910" s="463"/>
    </row>
    <row r="2911" spans="1:13" ht="12" customHeight="1">
      <c r="A2911" s="513">
        <v>45</v>
      </c>
      <c r="B2911" s="513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22">
        <v>2.2800000000000001E-2</v>
      </c>
      <c r="I2911" s="523"/>
      <c r="J2911" s="267">
        <v>3.3930000000000002E-2</v>
      </c>
      <c r="K2911" s="267">
        <v>6.2489999999999997E-2</v>
      </c>
      <c r="L2911" s="267">
        <v>8.7840000000000001E-2</v>
      </c>
      <c r="M2911" s="463"/>
    </row>
    <row r="2912" spans="1:13" ht="11.7" customHeight="1">
      <c r="A2912" s="513">
        <v>50</v>
      </c>
      <c r="B2912" s="513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22">
        <v>1.7840000000000002E-2</v>
      </c>
      <c r="I2912" s="523"/>
      <c r="J2912" s="267">
        <v>2.75E-2</v>
      </c>
      <c r="K2912" s="267">
        <v>4.6829999999999997E-2</v>
      </c>
      <c r="L2912" s="267">
        <v>7.5160000000000005E-2</v>
      </c>
      <c r="M2912" s="463"/>
    </row>
    <row r="2913" spans="1:13" ht="11.7" customHeight="1">
      <c r="A2913" s="513">
        <v>56</v>
      </c>
      <c r="B2913" s="513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22">
        <v>1.4619999999999999E-2</v>
      </c>
      <c r="I2913" s="523"/>
      <c r="J2913" s="267">
        <v>2.3570000000000001E-2</v>
      </c>
      <c r="K2913" s="267">
        <v>3.85E-2</v>
      </c>
      <c r="L2913" s="267">
        <v>6.4979999999999996E-2</v>
      </c>
      <c r="M2913" s="463"/>
    </row>
    <row r="2914" spans="1:13" ht="12" customHeight="1">
      <c r="A2914" s="513">
        <v>63</v>
      </c>
      <c r="B2914" s="513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22">
        <v>1.242E-2</v>
      </c>
      <c r="I2914" s="523"/>
      <c r="J2914" s="267">
        <v>1.8440000000000002E-2</v>
      </c>
      <c r="K2914" s="267">
        <v>3.2649999999999998E-2</v>
      </c>
      <c r="L2914" s="267">
        <v>4.8759999999999998E-2</v>
      </c>
      <c r="M2914" s="463"/>
    </row>
    <row r="2915" spans="1:13" ht="11.7" customHeight="1">
      <c r="A2915" s="513">
        <v>71</v>
      </c>
      <c r="B2915" s="513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22">
        <v>9.9699999999999997E-3</v>
      </c>
      <c r="I2915" s="523"/>
      <c r="J2915" s="267">
        <v>1.5089999999999999E-2</v>
      </c>
      <c r="K2915" s="267">
        <v>2.622E-2</v>
      </c>
      <c r="L2915" s="267">
        <v>4.002E-2</v>
      </c>
      <c r="M2915" s="463"/>
    </row>
    <row r="2916" spans="1:13" ht="11.7" customHeight="1">
      <c r="A2916" s="513">
        <v>80</v>
      </c>
      <c r="B2916" s="513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24" t="s">
        <v>1</v>
      </c>
      <c r="I2916" s="525"/>
      <c r="J2916" s="267">
        <v>1.2800000000000001E-2</v>
      </c>
      <c r="K2916" s="79" t="s">
        <v>1</v>
      </c>
      <c r="L2916" s="267">
        <v>3.39E-2</v>
      </c>
      <c r="M2916" s="463"/>
    </row>
    <row r="2917" spans="1:13" ht="12" customHeight="1">
      <c r="A2917" s="513">
        <v>90</v>
      </c>
      <c r="B2917" s="513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24" t="s">
        <v>1</v>
      </c>
      <c r="I2917" s="525"/>
      <c r="J2917" s="267">
        <v>1.027E-2</v>
      </c>
      <c r="K2917" s="79" t="s">
        <v>1</v>
      </c>
      <c r="L2917" s="267">
        <v>2.7189999999999999E-2</v>
      </c>
      <c r="M2917" s="463"/>
    </row>
    <row r="2918" spans="1:13" ht="11.7" customHeight="1">
      <c r="A2918" s="509" t="s">
        <v>524</v>
      </c>
      <c r="B2918" s="509"/>
      <c r="C2918" s="514"/>
      <c r="D2918" s="274">
        <v>0.01</v>
      </c>
      <c r="E2918" s="274">
        <v>0.01</v>
      </c>
      <c r="F2918" s="274">
        <v>0.02</v>
      </c>
      <c r="G2918" s="274">
        <v>0.02</v>
      </c>
      <c r="H2918" s="530">
        <v>4.4999999999999998E-2</v>
      </c>
      <c r="I2918" s="531"/>
      <c r="J2918" s="274">
        <v>4.4999999999999998E-2</v>
      </c>
      <c r="K2918" s="274">
        <v>0.1</v>
      </c>
      <c r="L2918" s="274">
        <v>0.1</v>
      </c>
      <c r="M2918" s="464"/>
    </row>
    <row r="2919" spans="1:13" ht="11.7" customHeight="1">
      <c r="A2919" s="513">
        <v>80</v>
      </c>
      <c r="B2919" s="513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26">
        <v>1.2930000000000001E-2</v>
      </c>
      <c r="I2919" s="527"/>
      <c r="J2919" s="14" t="s">
        <v>1</v>
      </c>
      <c r="K2919" s="264">
        <v>3.5729999999999998E-2</v>
      </c>
      <c r="L2919" s="14" t="s">
        <v>1</v>
      </c>
      <c r="M2919" s="456" t="s">
        <v>337</v>
      </c>
    </row>
    <row r="2920" spans="1:13" ht="12" customHeight="1">
      <c r="A2920" s="513">
        <v>90</v>
      </c>
      <c r="B2920" s="513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26">
        <v>1.193E-2</v>
      </c>
      <c r="I2920" s="527"/>
      <c r="J2920" s="14" t="s">
        <v>1</v>
      </c>
      <c r="K2920" s="264">
        <v>3.3169999999999998E-2</v>
      </c>
      <c r="L2920" s="14" t="s">
        <v>1</v>
      </c>
      <c r="M2920" s="457"/>
    </row>
    <row r="2921" spans="1:13" ht="11.7" customHeight="1">
      <c r="A2921" s="500">
        <v>100</v>
      </c>
      <c r="B2921" s="500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26">
        <v>1.0999999999999999E-2</v>
      </c>
      <c r="I2921" s="527"/>
      <c r="J2921" s="264">
        <v>1.3169999999999999E-2</v>
      </c>
      <c r="K2921" s="264">
        <v>2.895E-2</v>
      </c>
      <c r="L2921" s="264">
        <v>3.644E-2</v>
      </c>
      <c r="M2921" s="457"/>
    </row>
    <row r="2922" spans="1:13" ht="12" customHeight="1">
      <c r="A2922" s="500">
        <v>112</v>
      </c>
      <c r="B2922" s="500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26">
        <v>9.0299999999999998E-3</v>
      </c>
      <c r="I2922" s="527"/>
      <c r="J2922" s="264">
        <v>1.2120000000000001E-2</v>
      </c>
      <c r="K2922" s="264">
        <v>2.4309999999999998E-2</v>
      </c>
      <c r="L2922" s="264">
        <v>3.3750000000000002E-2</v>
      </c>
      <c r="M2922" s="457"/>
    </row>
    <row r="2923" spans="1:13" ht="11.7" customHeight="1">
      <c r="A2923" s="500">
        <v>125</v>
      </c>
      <c r="B2923" s="500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26">
        <v>7.4900000000000001E-3</v>
      </c>
      <c r="I2923" s="527"/>
      <c r="J2923" s="264">
        <v>1.1140000000000001E-2</v>
      </c>
      <c r="K2923" s="264">
        <v>1.9689999999999999E-2</v>
      </c>
      <c r="L2923" s="264">
        <v>2.9389999999999999E-2</v>
      </c>
      <c r="M2923" s="457"/>
    </row>
    <row r="2924" spans="1:13" ht="11.7" customHeight="1">
      <c r="A2924" s="500">
        <v>140</v>
      </c>
      <c r="B2924" s="500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26">
        <v>6.0000000000000001E-3</v>
      </c>
      <c r="I2924" s="527"/>
      <c r="J2924" s="264">
        <v>9.1500000000000001E-3</v>
      </c>
      <c r="K2924" s="264">
        <v>1.6029999999999999E-2</v>
      </c>
      <c r="L2924" s="264">
        <v>2.4670000000000001E-2</v>
      </c>
      <c r="M2924" s="457"/>
    </row>
    <row r="2925" spans="1:13" ht="12" customHeight="1">
      <c r="A2925" s="500">
        <v>160</v>
      </c>
      <c r="B2925" s="500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26">
        <v>4.2700000000000004E-3</v>
      </c>
      <c r="I2925" s="527"/>
      <c r="J2925" s="264">
        <v>7.5900000000000004E-3</v>
      </c>
      <c r="K2925" s="264">
        <v>1.1270000000000001E-2</v>
      </c>
      <c r="L2925" s="264">
        <v>1.9990000000000001E-2</v>
      </c>
      <c r="M2925" s="457"/>
    </row>
    <row r="2926" spans="1:13" ht="11.7" customHeight="1">
      <c r="A2926" s="500">
        <v>180</v>
      </c>
      <c r="B2926" s="500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26">
        <v>4.0200000000000001E-3</v>
      </c>
      <c r="I2926" s="527"/>
      <c r="J2926" s="264">
        <v>6.0800000000000003E-3</v>
      </c>
      <c r="K2926" s="264">
        <v>1.0070000000000001E-2</v>
      </c>
      <c r="L2926" s="264">
        <v>1.626E-2</v>
      </c>
      <c r="M2926" s="457"/>
    </row>
    <row r="2927" spans="1:13" ht="11.7" customHeight="1">
      <c r="A2927" s="500">
        <v>200</v>
      </c>
      <c r="B2927" s="500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26">
        <v>3.0799999999999998E-3</v>
      </c>
      <c r="I2927" s="527"/>
      <c r="J2927" s="264">
        <v>4.3299999999999996E-3</v>
      </c>
      <c r="K2927" s="264">
        <v>8.3000000000000001E-3</v>
      </c>
      <c r="L2927" s="264">
        <v>1.145E-2</v>
      </c>
      <c r="M2927" s="457"/>
    </row>
    <row r="2928" spans="1:13" ht="12" customHeight="1">
      <c r="A2928" s="500">
        <v>224</v>
      </c>
      <c r="B2928" s="500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26">
        <v>2.5400000000000002E-3</v>
      </c>
      <c r="I2928" s="527"/>
      <c r="J2928" s="264">
        <v>4.0699999999999998E-3</v>
      </c>
      <c r="K2928" s="264">
        <v>6.96E-3</v>
      </c>
      <c r="L2928" s="264">
        <v>1.021E-2</v>
      </c>
      <c r="M2928" s="457"/>
    </row>
    <row r="2929" spans="1:16" ht="11.7" customHeight="1">
      <c r="A2929" s="500">
        <v>250</v>
      </c>
      <c r="B2929" s="500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26">
        <v>2.1099999999999999E-3</v>
      </c>
      <c r="I2929" s="527"/>
      <c r="J2929" s="264">
        <v>3.1199999999999999E-3</v>
      </c>
      <c r="K2929" s="264">
        <v>6.0000000000000001E-3</v>
      </c>
      <c r="L2929" s="264">
        <v>8.4100000000000008E-3</v>
      </c>
      <c r="M2929" s="457"/>
    </row>
    <row r="2930" spans="1:16" ht="11.7" customHeight="1">
      <c r="A2930" s="500">
        <v>280</v>
      </c>
      <c r="B2930" s="500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26">
        <v>1.6000000000000001E-3</v>
      </c>
      <c r="I2930" s="527"/>
      <c r="J2930" s="264">
        <v>2.5699999999999998E-3</v>
      </c>
      <c r="K2930" s="264">
        <v>4.7600000000000003E-3</v>
      </c>
      <c r="L2930" s="264">
        <v>7.0499999999999998E-3</v>
      </c>
      <c r="M2930" s="457"/>
    </row>
    <row r="2931" spans="1:16" ht="12" customHeight="1">
      <c r="A2931" s="500">
        <v>315</v>
      </c>
      <c r="B2931" s="500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26">
        <v>1.3600000000000001E-3</v>
      </c>
      <c r="I2931" s="527"/>
      <c r="J2931" s="264">
        <v>2.14E-3</v>
      </c>
      <c r="K2931" s="264">
        <v>4.0499999999999998E-3</v>
      </c>
      <c r="L2931" s="264">
        <v>6.0800000000000003E-3</v>
      </c>
      <c r="M2931" s="457"/>
    </row>
    <row r="2932" spans="1:16" ht="11.7" customHeight="1">
      <c r="A2932" s="500">
        <v>355</v>
      </c>
      <c r="B2932" s="500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16" t="s">
        <v>1</v>
      </c>
      <c r="I2932" s="517"/>
      <c r="J2932" s="264">
        <v>1.6199999999999999E-3</v>
      </c>
      <c r="K2932" s="14" t="s">
        <v>1</v>
      </c>
      <c r="L2932" s="264">
        <v>4.8199999999999996E-3</v>
      </c>
      <c r="M2932" s="457"/>
    </row>
    <row r="2933" spans="1:16" ht="11.7" customHeight="1">
      <c r="A2933" s="480">
        <v>400</v>
      </c>
      <c r="B2933" s="480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28" t="s">
        <v>1</v>
      </c>
      <c r="I2933" s="529"/>
      <c r="J2933" s="276">
        <v>1.3799999999999999E-3</v>
      </c>
      <c r="K2933" s="10" t="s">
        <v>1</v>
      </c>
      <c r="L2933" s="276">
        <v>4.0899999999999999E-3</v>
      </c>
      <c r="M2933" s="457"/>
    </row>
    <row r="2935" spans="1:16" ht="29.7" customHeight="1">
      <c r="A2935" s="477" t="s">
        <v>517</v>
      </c>
      <c r="B2935" s="477"/>
      <c r="C2935" s="477"/>
      <c r="D2935" s="477"/>
      <c r="E2935" s="477"/>
      <c r="F2935" s="477"/>
      <c r="G2935" s="477"/>
      <c r="H2935" s="477"/>
      <c r="I2935" s="477"/>
      <c r="J2935" s="477"/>
      <c r="K2935" s="477"/>
      <c r="L2935" s="477"/>
      <c r="M2935" s="477"/>
      <c r="N2935" s="477"/>
      <c r="O2935" s="477"/>
      <c r="P2935" s="477"/>
    </row>
    <row r="2936" spans="1:16" ht="12" customHeight="1">
      <c r="A2936" s="515" t="s">
        <v>14</v>
      </c>
      <c r="B2936" s="515"/>
      <c r="C2936" s="515"/>
      <c r="D2936" s="515"/>
      <c r="E2936" s="515"/>
      <c r="F2936" s="515"/>
      <c r="G2936" s="515"/>
      <c r="H2936" s="515"/>
      <c r="I2936" s="515"/>
      <c r="J2936" s="515"/>
      <c r="K2936" s="515"/>
      <c r="L2936" s="515"/>
      <c r="M2936" s="515"/>
      <c r="N2936" s="515"/>
    </row>
    <row r="2937" spans="1:16" ht="11.7" customHeight="1">
      <c r="A2937" s="505" t="s">
        <v>521</v>
      </c>
      <c r="B2937" s="505"/>
      <c r="C2937" s="506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20">
        <v>19</v>
      </c>
      <c r="J2937" s="521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502">
        <v>5</v>
      </c>
      <c r="B2938" s="502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16" t="s">
        <v>1</v>
      </c>
      <c r="J2938" s="517"/>
      <c r="K2938" s="14" t="s">
        <v>1</v>
      </c>
      <c r="L2938" s="14" t="s">
        <v>1</v>
      </c>
      <c r="M2938" s="14" t="s">
        <v>1</v>
      </c>
      <c r="N2938" s="456" t="s">
        <v>456</v>
      </c>
    </row>
    <row r="2939" spans="1:16" ht="12" customHeight="1">
      <c r="A2939" s="502">
        <v>5.6</v>
      </c>
      <c r="B2939" s="502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16" t="s">
        <v>1</v>
      </c>
      <c r="J2939" s="517"/>
      <c r="K2939" s="14" t="s">
        <v>1</v>
      </c>
      <c r="L2939" s="14" t="s">
        <v>1</v>
      </c>
      <c r="M2939" s="14" t="s">
        <v>1</v>
      </c>
      <c r="N2939" s="457"/>
    </row>
    <row r="2940" spans="1:16" ht="11.7" customHeight="1">
      <c r="A2940" s="502">
        <v>6.3</v>
      </c>
      <c r="B2940" s="502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16" t="s">
        <v>1</v>
      </c>
      <c r="J2940" s="517"/>
      <c r="K2940" s="14" t="s">
        <v>1</v>
      </c>
      <c r="L2940" s="14" t="s">
        <v>1</v>
      </c>
      <c r="M2940" s="14" t="s">
        <v>1</v>
      </c>
      <c r="N2940" s="457"/>
    </row>
    <row r="2941" spans="1:16" ht="11.7" customHeight="1">
      <c r="A2941" s="502">
        <v>7.1</v>
      </c>
      <c r="B2941" s="502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16" t="s">
        <v>1</v>
      </c>
      <c r="J2941" s="517"/>
      <c r="K2941" s="14" t="s">
        <v>1</v>
      </c>
      <c r="L2941" s="14" t="s">
        <v>1</v>
      </c>
      <c r="M2941" s="14" t="s">
        <v>1</v>
      </c>
      <c r="N2941" s="457"/>
    </row>
    <row r="2942" spans="1:16" ht="12" customHeight="1">
      <c r="A2942" s="502">
        <v>8</v>
      </c>
      <c r="B2942" s="502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16" t="s">
        <v>1</v>
      </c>
      <c r="J2942" s="517"/>
      <c r="K2942" s="14" t="s">
        <v>1</v>
      </c>
      <c r="L2942" s="14" t="s">
        <v>1</v>
      </c>
      <c r="M2942" s="14" t="s">
        <v>1</v>
      </c>
      <c r="N2942" s="457"/>
    </row>
    <row r="2943" spans="1:16" ht="11.7" customHeight="1">
      <c r="A2943" s="502">
        <v>9</v>
      </c>
      <c r="B2943" s="502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16" t="s">
        <v>1</v>
      </c>
      <c r="J2943" s="517"/>
      <c r="K2943" s="14" t="s">
        <v>1</v>
      </c>
      <c r="L2943" s="14" t="s">
        <v>1</v>
      </c>
      <c r="M2943" s="14" t="s">
        <v>1</v>
      </c>
      <c r="N2943" s="457"/>
    </row>
    <row r="2944" spans="1:16" ht="11.7" customHeight="1">
      <c r="A2944" s="513">
        <v>10</v>
      </c>
      <c r="B2944" s="513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16" t="s">
        <v>1</v>
      </c>
      <c r="J2944" s="517"/>
      <c r="K2944" s="14" t="s">
        <v>1</v>
      </c>
      <c r="L2944" s="14" t="s">
        <v>1</v>
      </c>
      <c r="M2944" s="14" t="s">
        <v>1</v>
      </c>
      <c r="N2944" s="457"/>
    </row>
    <row r="2945" spans="1:14" ht="12" customHeight="1">
      <c r="A2945" s="502">
        <v>11.2</v>
      </c>
      <c r="B2945" s="502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16" t="s">
        <v>1</v>
      </c>
      <c r="J2945" s="517"/>
      <c r="K2945" s="14" t="s">
        <v>1</v>
      </c>
      <c r="L2945" s="14" t="s">
        <v>1</v>
      </c>
      <c r="M2945" s="14" t="s">
        <v>1</v>
      </c>
      <c r="N2945" s="457"/>
    </row>
    <row r="2946" spans="1:14" ht="11.7" customHeight="1">
      <c r="A2946" s="502">
        <v>12.5</v>
      </c>
      <c r="B2946" s="502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16" t="s">
        <v>1</v>
      </c>
      <c r="J2946" s="517"/>
      <c r="K2946" s="14" t="s">
        <v>1</v>
      </c>
      <c r="L2946" s="14" t="s">
        <v>1</v>
      </c>
      <c r="M2946" s="14" t="s">
        <v>1</v>
      </c>
      <c r="N2946" s="457"/>
    </row>
    <row r="2947" spans="1:14" ht="11.7" customHeight="1">
      <c r="A2947" s="513">
        <v>14</v>
      </c>
      <c r="B2947" s="513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16" t="s">
        <v>1</v>
      </c>
      <c r="J2947" s="517"/>
      <c r="K2947" s="14" t="s">
        <v>1</v>
      </c>
      <c r="L2947" s="14" t="s">
        <v>1</v>
      </c>
      <c r="M2947" s="14" t="s">
        <v>1</v>
      </c>
      <c r="N2947" s="457"/>
    </row>
    <row r="2948" spans="1:14" ht="12" customHeight="1">
      <c r="A2948" s="509" t="s">
        <v>519</v>
      </c>
      <c r="B2948" s="509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16" t="s">
        <v>1</v>
      </c>
      <c r="J2948" s="517"/>
      <c r="K2948" s="14" t="s">
        <v>1</v>
      </c>
      <c r="L2948" s="14" t="s">
        <v>1</v>
      </c>
      <c r="M2948" s="14" t="s">
        <v>1</v>
      </c>
      <c r="N2948" s="461"/>
    </row>
    <row r="2949" spans="1:14" ht="11.7" customHeight="1">
      <c r="A2949" s="502">
        <v>12.5</v>
      </c>
      <c r="B2949" s="502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18">
        <v>7.8895999999999997</v>
      </c>
      <c r="J2949" s="519"/>
      <c r="K2949" s="79" t="s">
        <v>1</v>
      </c>
      <c r="L2949" s="277">
        <v>8.3877000000000006</v>
      </c>
      <c r="M2949" s="79" t="s">
        <v>1</v>
      </c>
      <c r="N2949" s="462" t="s">
        <v>336</v>
      </c>
    </row>
    <row r="2950" spans="1:14" ht="11.7" customHeight="1">
      <c r="A2950" s="513">
        <v>14</v>
      </c>
      <c r="B2950" s="513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18">
        <v>7.7305000000000001</v>
      </c>
      <c r="J2950" s="519"/>
      <c r="K2950" s="277">
        <v>8.0658999999999992</v>
      </c>
      <c r="L2950" s="277">
        <v>8.2186000000000003</v>
      </c>
      <c r="M2950" s="277">
        <v>8.6052</v>
      </c>
      <c r="N2950" s="463"/>
    </row>
    <row r="2951" spans="1:14" ht="12" customHeight="1">
      <c r="A2951" s="513">
        <v>16</v>
      </c>
      <c r="B2951" s="513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18">
        <v>6.9988999999999999</v>
      </c>
      <c r="J2951" s="519"/>
      <c r="K2951" s="277">
        <v>7.84</v>
      </c>
      <c r="L2951" s="277">
        <v>7.4408000000000003</v>
      </c>
      <c r="M2951" s="277">
        <v>8.3643000000000001</v>
      </c>
      <c r="N2951" s="463"/>
    </row>
    <row r="2952" spans="1:14" ht="11.7" customHeight="1">
      <c r="A2952" s="513">
        <v>18</v>
      </c>
      <c r="B2952" s="513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18">
        <v>6.8398000000000003</v>
      </c>
      <c r="J2952" s="519"/>
      <c r="K2952" s="277">
        <v>6.9560000000000004</v>
      </c>
      <c r="L2952" s="277">
        <v>7.2717000000000001</v>
      </c>
      <c r="M2952" s="277">
        <v>7.4142000000000001</v>
      </c>
      <c r="N2952" s="463"/>
    </row>
    <row r="2953" spans="1:14" ht="11.7" customHeight="1">
      <c r="A2953" s="513">
        <v>20</v>
      </c>
      <c r="B2953" s="513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22">
        <v>6.3793600000000001</v>
      </c>
      <c r="J2953" s="523"/>
      <c r="K2953" s="277">
        <v>6.8399000000000001</v>
      </c>
      <c r="L2953" s="267">
        <v>6.79596</v>
      </c>
      <c r="M2953" s="277">
        <v>7.2972000000000001</v>
      </c>
      <c r="N2953" s="463"/>
    </row>
    <row r="2954" spans="1:14" ht="12" customHeight="1">
      <c r="A2954" s="502">
        <v>22.4</v>
      </c>
      <c r="B2954" s="502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22">
        <v>5.5015499999999999</v>
      </c>
      <c r="J2954" s="523"/>
      <c r="K2954" s="267">
        <v>6.4647800000000002</v>
      </c>
      <c r="L2954" s="267">
        <v>5.82775</v>
      </c>
      <c r="M2954" s="267">
        <v>6.9163699999999997</v>
      </c>
      <c r="N2954" s="463"/>
    </row>
    <row r="2955" spans="1:14" ht="11.7" customHeight="1">
      <c r="A2955" s="513">
        <v>25</v>
      </c>
      <c r="B2955" s="513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22">
        <v>4.5719900000000004</v>
      </c>
      <c r="J2955" s="523"/>
      <c r="K2955" s="267">
        <v>5.5684300000000002</v>
      </c>
      <c r="L2955" s="267">
        <v>4.8272599999999999</v>
      </c>
      <c r="M2955" s="267">
        <v>5.92204</v>
      </c>
      <c r="N2955" s="463"/>
    </row>
    <row r="2956" spans="1:14" ht="11.7" customHeight="1">
      <c r="A2956" s="513">
        <v>28</v>
      </c>
      <c r="B2956" s="513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22">
        <v>3.8288099999999998</v>
      </c>
      <c r="J2956" s="523"/>
      <c r="K2956" s="267">
        <v>4.6243299999999996</v>
      </c>
      <c r="L2956" s="267">
        <v>4.0305600000000004</v>
      </c>
      <c r="M2956" s="267">
        <v>4.9010499999999997</v>
      </c>
      <c r="N2956" s="463"/>
    </row>
    <row r="2957" spans="1:14" ht="12" customHeight="1">
      <c r="A2957" s="502">
        <v>31.5</v>
      </c>
      <c r="B2957" s="502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22">
        <v>2.8277100000000002</v>
      </c>
      <c r="J2957" s="523"/>
      <c r="K2957" s="267">
        <v>3.8701699999999999</v>
      </c>
      <c r="L2957" s="267">
        <v>2.9840499999999999</v>
      </c>
      <c r="M2957" s="267">
        <v>4.0888799999999996</v>
      </c>
      <c r="N2957" s="463"/>
    </row>
    <row r="2958" spans="1:14" ht="11.7" customHeight="1">
      <c r="A2958" s="502">
        <v>35.5</v>
      </c>
      <c r="B2958" s="502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22">
        <v>2.5698599999999998</v>
      </c>
      <c r="J2958" s="523"/>
      <c r="K2958" s="267">
        <v>2.8597600000000001</v>
      </c>
      <c r="L2958" s="267">
        <v>2.70207</v>
      </c>
      <c r="M2958" s="267">
        <v>3.0292400000000002</v>
      </c>
      <c r="N2958" s="463"/>
    </row>
    <row r="2959" spans="1:14" ht="11.7" customHeight="1">
      <c r="A2959" s="513">
        <v>40</v>
      </c>
      <c r="B2959" s="513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22">
        <v>2.1964299999999999</v>
      </c>
      <c r="J2959" s="523"/>
      <c r="K2959" s="267">
        <v>2.5969699999999998</v>
      </c>
      <c r="L2959" s="267">
        <v>2.29704</v>
      </c>
      <c r="M2959" s="267">
        <v>2.7402899999999999</v>
      </c>
      <c r="N2959" s="463"/>
    </row>
    <row r="2960" spans="1:14" ht="12" customHeight="1">
      <c r="A2960" s="513">
        <v>45</v>
      </c>
      <c r="B2960" s="513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22">
        <v>1.83887</v>
      </c>
      <c r="J2960" s="523"/>
      <c r="K2960" s="267">
        <v>2.21706</v>
      </c>
      <c r="L2960" s="267">
        <v>1.92502</v>
      </c>
      <c r="M2960" s="267">
        <v>2.32612</v>
      </c>
      <c r="N2960" s="463"/>
    </row>
    <row r="2961" spans="1:14" ht="11.7" customHeight="1">
      <c r="A2961" s="513">
        <v>50</v>
      </c>
      <c r="B2961" s="513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22">
        <v>1.4028799999999999</v>
      </c>
      <c r="J2961" s="523"/>
      <c r="K2961" s="267">
        <v>1.8565400000000001</v>
      </c>
      <c r="L2961" s="267">
        <v>1.46929</v>
      </c>
      <c r="M2961" s="267">
        <v>1.9499200000000001</v>
      </c>
      <c r="N2961" s="463"/>
    </row>
    <row r="2962" spans="1:14" ht="11.7" customHeight="1">
      <c r="A2962" s="513">
        <v>56</v>
      </c>
      <c r="B2962" s="513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22">
        <v>1.14615</v>
      </c>
      <c r="J2962" s="523"/>
      <c r="K2962" s="267">
        <v>1.4165000000000001</v>
      </c>
      <c r="L2962" s="267">
        <v>1.1987099999999999</v>
      </c>
      <c r="M2962" s="267">
        <v>1.4884900000000001</v>
      </c>
      <c r="N2962" s="463"/>
    </row>
    <row r="2963" spans="1:14" ht="12" customHeight="1">
      <c r="A2963" s="513">
        <v>63</v>
      </c>
      <c r="B2963" s="513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22">
        <v>1.04477</v>
      </c>
      <c r="J2963" s="523"/>
      <c r="K2963" s="267">
        <v>1.15693</v>
      </c>
      <c r="L2963" s="267">
        <v>1.0880099999999999</v>
      </c>
      <c r="M2963" s="267">
        <v>1.2139</v>
      </c>
      <c r="N2963" s="463"/>
    </row>
    <row r="2964" spans="1:14" ht="11.7" customHeight="1">
      <c r="A2964" s="513">
        <v>71</v>
      </c>
      <c r="B2964" s="513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22">
        <v>0.84653999999999996</v>
      </c>
      <c r="J2964" s="523"/>
      <c r="K2964" s="267">
        <v>1.0536399999999999</v>
      </c>
      <c r="L2964" s="267">
        <v>0.87983</v>
      </c>
      <c r="M2964" s="267">
        <v>1.1005</v>
      </c>
      <c r="N2964" s="463"/>
    </row>
    <row r="2965" spans="1:14" ht="11.7" customHeight="1">
      <c r="A2965" s="513">
        <v>80</v>
      </c>
      <c r="B2965" s="513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24" t="s">
        <v>1</v>
      </c>
      <c r="J2965" s="525"/>
      <c r="K2965" s="267">
        <v>0.85336999999999996</v>
      </c>
      <c r="L2965" s="79" t="s">
        <v>1</v>
      </c>
      <c r="M2965" s="267">
        <v>0.88944999999999996</v>
      </c>
      <c r="N2965" s="463"/>
    </row>
    <row r="2966" spans="1:14" ht="12" customHeight="1">
      <c r="A2966" s="513">
        <v>90</v>
      </c>
      <c r="B2966" s="513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24" t="s">
        <v>1</v>
      </c>
      <c r="J2966" s="525"/>
      <c r="K2966" s="79" t="s">
        <v>1</v>
      </c>
      <c r="L2966" s="79" t="s">
        <v>1</v>
      </c>
      <c r="M2966" s="79" t="s">
        <v>1</v>
      </c>
      <c r="N2966" s="463"/>
    </row>
    <row r="2967" spans="1:14" ht="11.7" customHeight="1">
      <c r="A2967" s="509" t="s">
        <v>522</v>
      </c>
      <c r="B2967" s="509"/>
      <c r="C2967" s="514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30">
        <v>0.69</v>
      </c>
      <c r="J2967" s="531"/>
      <c r="K2967" s="274">
        <v>0.69</v>
      </c>
      <c r="L2967" s="274">
        <v>0.69</v>
      </c>
      <c r="M2967" s="274">
        <v>0.69</v>
      </c>
      <c r="N2967" s="464"/>
    </row>
    <row r="2968" spans="1:14" ht="11.7" customHeight="1">
      <c r="A2968" s="513">
        <v>80</v>
      </c>
      <c r="B2968" s="513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26">
        <v>0.49621999999999999</v>
      </c>
      <c r="J2968" s="527"/>
      <c r="K2968" s="14" t="s">
        <v>1</v>
      </c>
      <c r="L2968" s="264">
        <v>1.41079</v>
      </c>
      <c r="M2968" s="14" t="s">
        <v>1</v>
      </c>
      <c r="N2968" s="456" t="s">
        <v>337</v>
      </c>
    </row>
    <row r="2969" spans="1:14" ht="12" customHeight="1">
      <c r="A2969" s="513">
        <v>90</v>
      </c>
      <c r="B2969" s="513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26">
        <v>0.42091000000000001</v>
      </c>
      <c r="J2969" s="527"/>
      <c r="K2969" s="264">
        <v>0.50136000000000003</v>
      </c>
      <c r="L2969" s="264">
        <v>1.1766300000000001</v>
      </c>
      <c r="M2969" s="264">
        <v>1.41869</v>
      </c>
      <c r="N2969" s="457"/>
    </row>
    <row r="2970" spans="1:14" ht="11.7" customHeight="1">
      <c r="A2970" s="500">
        <v>100</v>
      </c>
      <c r="B2970" s="500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26">
        <v>0.33317999999999998</v>
      </c>
      <c r="J2970" s="527"/>
      <c r="K2970" s="264">
        <v>0.42519000000000001</v>
      </c>
      <c r="L2970" s="264">
        <v>0.92537000000000003</v>
      </c>
      <c r="M2970" s="264">
        <v>1.1828099999999999</v>
      </c>
      <c r="N2970" s="457"/>
    </row>
    <row r="2971" spans="1:14" ht="12" customHeight="1">
      <c r="A2971" s="500">
        <v>112</v>
      </c>
      <c r="B2971" s="500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26">
        <v>0.28247</v>
      </c>
      <c r="J2971" s="527"/>
      <c r="K2971" s="264">
        <v>0.33633000000000002</v>
      </c>
      <c r="L2971" s="264">
        <v>0.79181999999999997</v>
      </c>
      <c r="M2971" s="264">
        <v>0.93015000000000003</v>
      </c>
      <c r="N2971" s="457"/>
    </row>
    <row r="2972" spans="1:14" ht="11.7" customHeight="1">
      <c r="A2972" s="500">
        <v>125</v>
      </c>
      <c r="B2972" s="500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26">
        <v>0.20877999999999999</v>
      </c>
      <c r="J2972" s="527"/>
      <c r="K2972" s="264">
        <v>0.28505000000000003</v>
      </c>
      <c r="L2972" s="264">
        <v>0.57621</v>
      </c>
      <c r="M2972" s="264">
        <v>0.79564000000000001</v>
      </c>
      <c r="N2972" s="457"/>
    </row>
    <row r="2973" spans="1:14" ht="11.7" customHeight="1">
      <c r="A2973" s="500">
        <v>140</v>
      </c>
      <c r="B2973" s="500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26">
        <v>0.18898000000000001</v>
      </c>
      <c r="J2973" s="527"/>
      <c r="K2973" s="264">
        <v>0.21073</v>
      </c>
      <c r="L2973" s="264">
        <v>0.51866000000000001</v>
      </c>
      <c r="M2973" s="264">
        <v>0.57916999999999996</v>
      </c>
      <c r="N2973" s="457"/>
    </row>
    <row r="2974" spans="1:14" ht="12" customHeight="1">
      <c r="A2974" s="500">
        <v>160</v>
      </c>
      <c r="B2974" s="500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26">
        <v>0.15840000000000001</v>
      </c>
      <c r="J2974" s="527"/>
      <c r="K2974" s="264">
        <v>0.19062999999999999</v>
      </c>
      <c r="L2974" s="264">
        <v>0.44016</v>
      </c>
      <c r="M2974" s="264">
        <v>0.52117000000000002</v>
      </c>
      <c r="N2974" s="457"/>
    </row>
    <row r="2975" spans="1:14" ht="11.7" customHeight="1">
      <c r="A2975" s="500">
        <v>180</v>
      </c>
      <c r="B2975" s="500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26">
        <v>0.13531000000000001</v>
      </c>
      <c r="J2975" s="527"/>
      <c r="K2975" s="264">
        <v>0.15966</v>
      </c>
      <c r="L2975" s="264">
        <v>0.37753999999999999</v>
      </c>
      <c r="M2975" s="264">
        <v>0.44207000000000002</v>
      </c>
      <c r="N2975" s="457"/>
    </row>
    <row r="2976" spans="1:14" ht="11.7" customHeight="1">
      <c r="A2976" s="500">
        <v>200</v>
      </c>
      <c r="B2976" s="500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26">
        <v>0.10600999999999999</v>
      </c>
      <c r="J2976" s="527"/>
      <c r="K2976" s="264">
        <v>0.13639000000000001</v>
      </c>
      <c r="L2976" s="264">
        <v>0.28272999999999998</v>
      </c>
      <c r="M2976" s="264">
        <v>0.37918000000000002</v>
      </c>
      <c r="N2976" s="457"/>
    </row>
    <row r="2977" spans="1:14" ht="12" customHeight="1">
      <c r="A2977" s="500">
        <v>224</v>
      </c>
      <c r="B2977" s="500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26">
        <v>8.813E-2</v>
      </c>
      <c r="J2977" s="527"/>
      <c r="K2977" s="264">
        <v>0.10684</v>
      </c>
      <c r="L2977" s="264">
        <v>0.23338</v>
      </c>
      <c r="M2977" s="264">
        <v>0.28399000000000002</v>
      </c>
      <c r="N2977" s="457"/>
    </row>
    <row r="2978" spans="1:14" ht="11.7" customHeight="1">
      <c r="A2978" s="500">
        <v>250</v>
      </c>
      <c r="B2978" s="500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26">
        <v>7.4789999999999995E-2</v>
      </c>
      <c r="J2978" s="527"/>
      <c r="K2978" s="264">
        <v>8.8789999999999994E-2</v>
      </c>
      <c r="L2978" s="264">
        <v>0.19972999999999999</v>
      </c>
      <c r="M2978" s="264">
        <v>0.23438000000000001</v>
      </c>
      <c r="N2978" s="457"/>
    </row>
    <row r="2979" spans="1:14" ht="11.7" customHeight="1">
      <c r="A2979" s="500">
        <v>280</v>
      </c>
      <c r="B2979" s="500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26">
        <v>6.0319999999999999E-2</v>
      </c>
      <c r="J2979" s="527"/>
      <c r="K2979" s="264">
        <v>7.5329999999999994E-2</v>
      </c>
      <c r="L2979" s="264">
        <v>0.16181000000000001</v>
      </c>
      <c r="M2979" s="264">
        <v>0.20055000000000001</v>
      </c>
      <c r="N2979" s="457"/>
    </row>
    <row r="2980" spans="1:14" ht="12" customHeight="1">
      <c r="A2980" s="500">
        <v>315</v>
      </c>
      <c r="B2980" s="500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26">
        <v>4.9340000000000002E-2</v>
      </c>
      <c r="J2980" s="527"/>
      <c r="K2980" s="264">
        <v>6.0740000000000002E-2</v>
      </c>
      <c r="L2980" s="264">
        <v>0.12884999999999999</v>
      </c>
      <c r="M2980" s="264">
        <v>0.16245000000000001</v>
      </c>
      <c r="N2980" s="457"/>
    </row>
    <row r="2981" spans="1:14" ht="11.7" customHeight="1">
      <c r="A2981" s="500">
        <v>355</v>
      </c>
      <c r="B2981" s="500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16" t="s">
        <v>1</v>
      </c>
      <c r="J2981" s="517"/>
      <c r="K2981" s="264">
        <v>4.9680000000000002E-2</v>
      </c>
      <c r="L2981" s="14" t="s">
        <v>1</v>
      </c>
      <c r="M2981" s="264">
        <v>0.12937000000000001</v>
      </c>
      <c r="N2981" s="457"/>
    </row>
    <row r="2982" spans="1:14" ht="11.7" customHeight="1">
      <c r="A2982" s="480">
        <v>400</v>
      </c>
      <c r="B2982" s="480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28" t="s">
        <v>1</v>
      </c>
      <c r="J2982" s="529"/>
      <c r="K2982" s="10" t="s">
        <v>1</v>
      </c>
      <c r="L2982" s="10" t="s">
        <v>1</v>
      </c>
      <c r="M2982" s="10" t="s">
        <v>1</v>
      </c>
      <c r="N2982" s="457"/>
    </row>
    <row r="2984" spans="1:14" ht="33.75" customHeight="1">
      <c r="A2984" s="449" t="s">
        <v>525</v>
      </c>
      <c r="B2984" s="449"/>
      <c r="C2984" s="449"/>
      <c r="D2984" s="449"/>
      <c r="E2984" s="449"/>
      <c r="F2984" s="449"/>
      <c r="G2984" s="449"/>
      <c r="H2984" s="449"/>
      <c r="I2984" s="449"/>
      <c r="J2984" s="449"/>
      <c r="K2984" s="449"/>
      <c r="L2984" s="449"/>
      <c r="M2984" s="449"/>
      <c r="N2984" s="449"/>
    </row>
    <row r="2985" spans="1:14" ht="12" customHeight="1">
      <c r="A2985" s="515" t="s">
        <v>14</v>
      </c>
      <c r="B2985" s="515"/>
      <c r="C2985" s="515"/>
      <c r="D2985" s="515"/>
      <c r="E2985" s="515"/>
      <c r="F2985" s="515"/>
      <c r="G2985" s="515"/>
      <c r="H2985" s="515"/>
      <c r="I2985" s="515"/>
      <c r="J2985" s="515"/>
      <c r="K2985" s="515"/>
      <c r="L2985" s="515"/>
      <c r="M2985" s="515"/>
    </row>
    <row r="2986" spans="1:14" ht="11.7" customHeight="1">
      <c r="A2986" s="505" t="s">
        <v>526</v>
      </c>
      <c r="B2986" s="505"/>
      <c r="C2986" s="506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501">
        <v>1.25</v>
      </c>
      <c r="B2987" s="501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56" t="s">
        <v>175</v>
      </c>
    </row>
    <row r="2988" spans="1:14" ht="12" customHeight="1">
      <c r="A2988" s="502">
        <v>1.4</v>
      </c>
      <c r="B2988" s="502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57"/>
    </row>
    <row r="2989" spans="1:14" ht="11.7" customHeight="1">
      <c r="A2989" s="502">
        <v>1.6</v>
      </c>
      <c r="B2989" s="502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57"/>
    </row>
    <row r="2990" spans="1:14" ht="11.7" customHeight="1">
      <c r="A2990" s="502">
        <v>1.8</v>
      </c>
      <c r="B2990" s="502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57"/>
    </row>
    <row r="2991" spans="1:14" ht="12" customHeight="1">
      <c r="A2991" s="502">
        <v>2</v>
      </c>
      <c r="B2991" s="502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57"/>
    </row>
    <row r="2992" spans="1:14" ht="11.7" customHeight="1">
      <c r="A2992" s="501">
        <v>2.2400000000000002</v>
      </c>
      <c r="B2992" s="501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57"/>
    </row>
    <row r="2993" spans="1:13" ht="11.7" customHeight="1">
      <c r="A2993" s="502">
        <v>2.5</v>
      </c>
      <c r="B2993" s="502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57"/>
    </row>
    <row r="2994" spans="1:13" ht="12" customHeight="1">
      <c r="A2994" s="502">
        <v>2.8</v>
      </c>
      <c r="B2994" s="502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57"/>
    </row>
    <row r="2995" spans="1:13" ht="11.7" customHeight="1">
      <c r="A2995" s="501">
        <v>3.15</v>
      </c>
      <c r="B2995" s="501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57"/>
    </row>
    <row r="2996" spans="1:13" ht="11.7" customHeight="1">
      <c r="A2996" s="501">
        <v>3.55</v>
      </c>
      <c r="B2996" s="501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57"/>
    </row>
    <row r="2997" spans="1:13" ht="12" customHeight="1">
      <c r="A2997" s="502">
        <v>4</v>
      </c>
      <c r="B2997" s="502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57"/>
    </row>
    <row r="2998" spans="1:13" ht="11.7" customHeight="1">
      <c r="A2998" s="502">
        <v>4.5</v>
      </c>
      <c r="B2998" s="502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57"/>
    </row>
    <row r="2999" spans="1:13" ht="11.7" customHeight="1">
      <c r="A2999" s="502">
        <v>5</v>
      </c>
      <c r="B2999" s="502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57"/>
    </row>
    <row r="3000" spans="1:13" ht="12" customHeight="1">
      <c r="A3000" s="502">
        <v>5.6</v>
      </c>
      <c r="B3000" s="502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57"/>
    </row>
    <row r="3001" spans="1:13" ht="11.7" customHeight="1">
      <c r="A3001" s="502">
        <v>6.3</v>
      </c>
      <c r="B3001" s="502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57"/>
    </row>
    <row r="3002" spans="1:13" ht="11.7" customHeight="1">
      <c r="A3002" s="502">
        <v>7.1</v>
      </c>
      <c r="B3002" s="502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57"/>
    </row>
    <row r="3003" spans="1:13" ht="12" customHeight="1">
      <c r="A3003" s="502">
        <v>8</v>
      </c>
      <c r="B3003" s="502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61"/>
    </row>
    <row r="3004" spans="1:13" ht="11.7" customHeight="1">
      <c r="A3004" s="502">
        <v>9</v>
      </c>
      <c r="B3004" s="502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62" t="s">
        <v>71</v>
      </c>
    </row>
    <row r="3005" spans="1:13" ht="11.7" customHeight="1">
      <c r="A3005" s="513">
        <v>10</v>
      </c>
      <c r="B3005" s="513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63"/>
    </row>
    <row r="3006" spans="1:13" ht="12" customHeight="1">
      <c r="A3006" s="502">
        <v>11.2</v>
      </c>
      <c r="B3006" s="502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63"/>
    </row>
    <row r="3007" spans="1:13" ht="11.7" customHeight="1">
      <c r="A3007" s="502">
        <v>12.5</v>
      </c>
      <c r="B3007" s="502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63"/>
    </row>
    <row r="3008" spans="1:13" ht="11.7" customHeight="1">
      <c r="A3008" s="513">
        <v>14</v>
      </c>
      <c r="B3008" s="513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63"/>
    </row>
    <row r="3009" spans="1:13" ht="12" customHeight="1">
      <c r="A3009" s="513">
        <v>16</v>
      </c>
      <c r="B3009" s="513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63"/>
    </row>
    <row r="3010" spans="1:13" ht="11.7" customHeight="1">
      <c r="A3010" s="513">
        <v>18</v>
      </c>
      <c r="B3010" s="513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63"/>
    </row>
    <row r="3011" spans="1:13" ht="11.7" customHeight="1">
      <c r="A3011" s="513">
        <v>20</v>
      </c>
      <c r="B3011" s="513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63"/>
    </row>
    <row r="3012" spans="1:13" ht="12" customHeight="1">
      <c r="A3012" s="502">
        <v>22.4</v>
      </c>
      <c r="B3012" s="502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64"/>
    </row>
    <row r="3013" spans="1:13" ht="11.7" customHeight="1">
      <c r="A3013" s="513">
        <v>25</v>
      </c>
      <c r="B3013" s="513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56" t="s">
        <v>72</v>
      </c>
    </row>
    <row r="3014" spans="1:13" ht="11.7" customHeight="1">
      <c r="A3014" s="513">
        <v>28</v>
      </c>
      <c r="B3014" s="513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57"/>
    </row>
    <row r="3015" spans="1:13" ht="12" customHeight="1">
      <c r="A3015" s="502">
        <v>31.5</v>
      </c>
      <c r="B3015" s="502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57"/>
    </row>
    <row r="3016" spans="1:13" ht="11.7" customHeight="1">
      <c r="A3016" s="502">
        <v>35.5</v>
      </c>
      <c r="B3016" s="502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57"/>
    </row>
    <row r="3017" spans="1:13" ht="11.7" customHeight="1">
      <c r="A3017" s="513">
        <v>40</v>
      </c>
      <c r="B3017" s="513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57"/>
    </row>
    <row r="3018" spans="1:13" ht="12" customHeight="1">
      <c r="A3018" s="513">
        <v>45</v>
      </c>
      <c r="B3018" s="513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57"/>
    </row>
    <row r="3019" spans="1:13" ht="11.7" customHeight="1">
      <c r="A3019" s="513">
        <v>50</v>
      </c>
      <c r="B3019" s="513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57"/>
    </row>
    <row r="3020" spans="1:13" ht="11.7" customHeight="1">
      <c r="A3020" s="513">
        <v>56</v>
      </c>
      <c r="B3020" s="513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57"/>
    </row>
    <row r="3021" spans="1:13" ht="12" customHeight="1">
      <c r="A3021" s="513">
        <v>63</v>
      </c>
      <c r="B3021" s="513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57"/>
    </row>
    <row r="3022" spans="1:13" ht="11.7" customHeight="1">
      <c r="A3022" s="513">
        <v>71</v>
      </c>
      <c r="B3022" s="513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57"/>
    </row>
    <row r="3023" spans="1:13" ht="12" customHeight="1">
      <c r="A3023" s="513">
        <v>80</v>
      </c>
      <c r="B3023" s="513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57"/>
    </row>
    <row r="3024" spans="1:13" ht="11.7" customHeight="1">
      <c r="A3024" s="513">
        <v>90</v>
      </c>
      <c r="B3024" s="513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57"/>
    </row>
    <row r="3025" spans="1:17" ht="11.7" customHeight="1">
      <c r="A3025" s="500">
        <v>100</v>
      </c>
      <c r="B3025" s="500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61"/>
    </row>
    <row r="3026" spans="1:17" ht="12" customHeight="1">
      <c r="A3026" s="500">
        <v>112</v>
      </c>
      <c r="B3026" s="500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62" t="s">
        <v>73</v>
      </c>
    </row>
    <row r="3027" spans="1:17" ht="11.7" customHeight="1">
      <c r="A3027" s="500">
        <v>125</v>
      </c>
      <c r="B3027" s="500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63"/>
    </row>
    <row r="3028" spans="1:17" ht="11.7" customHeight="1">
      <c r="A3028" s="500">
        <v>140</v>
      </c>
      <c r="B3028" s="500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63"/>
    </row>
    <row r="3029" spans="1:17" ht="12" customHeight="1">
      <c r="A3029" s="500">
        <v>160</v>
      </c>
      <c r="B3029" s="500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63"/>
    </row>
    <row r="3030" spans="1:17" ht="11.7" customHeight="1">
      <c r="A3030" s="500">
        <v>180</v>
      </c>
      <c r="B3030" s="500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63"/>
    </row>
    <row r="3031" spans="1:17" ht="11.7" customHeight="1">
      <c r="A3031" s="500">
        <v>200</v>
      </c>
      <c r="B3031" s="500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63"/>
    </row>
    <row r="3032" spans="1:17" ht="12" customHeight="1">
      <c r="A3032" s="500">
        <v>224</v>
      </c>
      <c r="B3032" s="500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63"/>
    </row>
    <row r="3033" spans="1:17" ht="11.7" customHeight="1">
      <c r="A3033" s="500">
        <v>250</v>
      </c>
      <c r="B3033" s="500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63"/>
    </row>
    <row r="3034" spans="1:17" ht="11.7" customHeight="1">
      <c r="A3034" s="500">
        <v>280</v>
      </c>
      <c r="B3034" s="500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63"/>
    </row>
    <row r="3035" spans="1:17" ht="12" customHeight="1">
      <c r="A3035" s="500">
        <v>315</v>
      </c>
      <c r="B3035" s="500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63"/>
    </row>
    <row r="3036" spans="1:17" ht="11.7" customHeight="1">
      <c r="A3036" s="500">
        <v>355</v>
      </c>
      <c r="B3036" s="500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63"/>
    </row>
    <row r="3037" spans="1:17" ht="11.7" customHeight="1">
      <c r="A3037" s="500">
        <v>400</v>
      </c>
      <c r="B3037" s="500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63"/>
    </row>
    <row r="3038" spans="1:17" ht="12" customHeight="1">
      <c r="A3038" s="480">
        <v>450</v>
      </c>
      <c r="B3038" s="480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63"/>
    </row>
    <row r="3040" spans="1:17" ht="34.799999999999997" customHeight="1">
      <c r="A3040" s="449" t="s">
        <v>525</v>
      </c>
      <c r="B3040" s="449"/>
      <c r="C3040" s="449"/>
      <c r="D3040" s="449"/>
      <c r="E3040" s="449"/>
      <c r="F3040" s="449"/>
      <c r="G3040" s="449"/>
      <c r="H3040" s="449"/>
      <c r="I3040" s="449"/>
      <c r="J3040" s="449"/>
      <c r="K3040" s="449"/>
      <c r="L3040" s="449"/>
      <c r="M3040" s="449"/>
      <c r="N3040" s="449"/>
      <c r="O3040" s="449"/>
      <c r="P3040" s="449"/>
      <c r="Q3040" s="449"/>
    </row>
    <row r="3041" spans="1:15" ht="12" customHeight="1">
      <c r="A3041" s="515" t="s">
        <v>14</v>
      </c>
      <c r="B3041" s="515"/>
      <c r="C3041" s="515"/>
      <c r="D3041" s="515"/>
      <c r="E3041" s="515"/>
      <c r="F3041" s="515"/>
      <c r="G3041" s="515"/>
      <c r="H3041" s="515"/>
      <c r="I3041" s="515"/>
      <c r="J3041" s="515"/>
      <c r="K3041" s="515"/>
      <c r="L3041" s="515"/>
      <c r="M3041" s="515"/>
      <c r="N3041" s="515"/>
      <c r="O3041" s="515"/>
    </row>
    <row r="3042" spans="1:15" ht="11.7" customHeight="1">
      <c r="A3042" s="505" t="s">
        <v>527</v>
      </c>
      <c r="B3042" s="505"/>
      <c r="C3042" s="506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501">
        <v>1.25</v>
      </c>
      <c r="B3043" s="501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56" t="s">
        <v>175</v>
      </c>
    </row>
    <row r="3044" spans="1:15" ht="12" customHeight="1">
      <c r="A3044" s="502">
        <v>1.4</v>
      </c>
      <c r="B3044" s="502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57"/>
    </row>
    <row r="3045" spans="1:15" ht="11.7" customHeight="1">
      <c r="A3045" s="502">
        <v>1.6</v>
      </c>
      <c r="B3045" s="502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57"/>
    </row>
    <row r="3046" spans="1:15" ht="11.7" customHeight="1">
      <c r="A3046" s="502">
        <v>1.8</v>
      </c>
      <c r="B3046" s="502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57"/>
    </row>
    <row r="3047" spans="1:15" ht="12" customHeight="1">
      <c r="A3047" s="502">
        <v>2</v>
      </c>
      <c r="B3047" s="502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57"/>
    </row>
    <row r="3048" spans="1:15" ht="11.7" customHeight="1">
      <c r="A3048" s="501">
        <v>2.2400000000000002</v>
      </c>
      <c r="B3048" s="501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57"/>
    </row>
    <row r="3049" spans="1:15" ht="11.7" customHeight="1">
      <c r="A3049" s="502">
        <v>2.5</v>
      </c>
      <c r="B3049" s="502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57"/>
    </row>
    <row r="3050" spans="1:15" ht="12" customHeight="1">
      <c r="A3050" s="502">
        <v>2.8</v>
      </c>
      <c r="B3050" s="502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57"/>
    </row>
    <row r="3051" spans="1:15" ht="11.7" customHeight="1">
      <c r="A3051" s="501">
        <v>3.15</v>
      </c>
      <c r="B3051" s="501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57"/>
    </row>
    <row r="3052" spans="1:15" ht="11.7" customHeight="1">
      <c r="A3052" s="501">
        <v>3.55</v>
      </c>
      <c r="B3052" s="501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57"/>
    </row>
    <row r="3053" spans="1:15" ht="12" customHeight="1">
      <c r="A3053" s="502">
        <v>4</v>
      </c>
      <c r="B3053" s="502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57"/>
    </row>
    <row r="3054" spans="1:15" ht="11.7" customHeight="1">
      <c r="A3054" s="502">
        <v>4.5</v>
      </c>
      <c r="B3054" s="502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57"/>
    </row>
    <row r="3055" spans="1:15" ht="11.7" customHeight="1">
      <c r="A3055" s="502">
        <v>5</v>
      </c>
      <c r="B3055" s="502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57"/>
    </row>
    <row r="3056" spans="1:15" ht="12" customHeight="1">
      <c r="A3056" s="502">
        <v>5.6</v>
      </c>
      <c r="B3056" s="502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57"/>
    </row>
    <row r="3057" spans="1:15" ht="11.7" customHeight="1">
      <c r="A3057" s="502">
        <v>6.3</v>
      </c>
      <c r="B3057" s="502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57"/>
    </row>
    <row r="3058" spans="1:15" ht="11.7" customHeight="1">
      <c r="A3058" s="502">
        <v>7.1</v>
      </c>
      <c r="B3058" s="502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57"/>
    </row>
    <row r="3059" spans="1:15" ht="12" customHeight="1">
      <c r="A3059" s="502">
        <v>8</v>
      </c>
      <c r="B3059" s="502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61"/>
    </row>
    <row r="3060" spans="1:15" ht="11.7" customHeight="1">
      <c r="A3060" s="502">
        <v>9</v>
      </c>
      <c r="B3060" s="502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62" t="s">
        <v>71</v>
      </c>
    </row>
    <row r="3061" spans="1:15" ht="11.7" customHeight="1">
      <c r="A3061" s="513">
        <v>10</v>
      </c>
      <c r="B3061" s="513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63"/>
    </row>
    <row r="3062" spans="1:15" ht="12" customHeight="1">
      <c r="A3062" s="502">
        <v>11.2</v>
      </c>
      <c r="B3062" s="502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63"/>
    </row>
    <row r="3063" spans="1:15" ht="11.7" customHeight="1">
      <c r="A3063" s="502">
        <v>12.5</v>
      </c>
      <c r="B3063" s="502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63"/>
    </row>
    <row r="3064" spans="1:15" ht="11.7" customHeight="1">
      <c r="A3064" s="513">
        <v>14</v>
      </c>
      <c r="B3064" s="513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63"/>
    </row>
    <row r="3065" spans="1:15" ht="12" customHeight="1">
      <c r="A3065" s="513">
        <v>16</v>
      </c>
      <c r="B3065" s="513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63"/>
    </row>
    <row r="3066" spans="1:15" ht="11.7" customHeight="1">
      <c r="A3066" s="513">
        <v>18</v>
      </c>
      <c r="B3066" s="513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63"/>
    </row>
    <row r="3067" spans="1:15" ht="11.7" customHeight="1">
      <c r="A3067" s="513">
        <v>20</v>
      </c>
      <c r="B3067" s="513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63"/>
    </row>
    <row r="3068" spans="1:15" ht="12" customHeight="1">
      <c r="A3068" s="502">
        <v>22.4</v>
      </c>
      <c r="B3068" s="502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64"/>
    </row>
    <row r="3069" spans="1:15" ht="11.7" customHeight="1">
      <c r="A3069" s="513">
        <v>25</v>
      </c>
      <c r="B3069" s="513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56" t="s">
        <v>72</v>
      </c>
    </row>
    <row r="3070" spans="1:15" ht="11.7" customHeight="1">
      <c r="A3070" s="513">
        <v>28</v>
      </c>
      <c r="B3070" s="513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57"/>
    </row>
    <row r="3071" spans="1:15" ht="12" customHeight="1">
      <c r="A3071" s="502">
        <v>31.5</v>
      </c>
      <c r="B3071" s="502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57"/>
    </row>
    <row r="3072" spans="1:15" ht="11.7" customHeight="1">
      <c r="A3072" s="502">
        <v>35.5</v>
      </c>
      <c r="B3072" s="502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57"/>
    </row>
    <row r="3073" spans="1:15" ht="11.7" customHeight="1">
      <c r="A3073" s="513">
        <v>40</v>
      </c>
      <c r="B3073" s="513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57"/>
    </row>
    <row r="3074" spans="1:15" ht="12" customHeight="1">
      <c r="A3074" s="513">
        <v>45</v>
      </c>
      <c r="B3074" s="513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57"/>
    </row>
    <row r="3075" spans="1:15" ht="11.7" customHeight="1">
      <c r="A3075" s="513">
        <v>50</v>
      </c>
      <c r="B3075" s="513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57"/>
    </row>
    <row r="3076" spans="1:15" ht="11.7" customHeight="1">
      <c r="A3076" s="513">
        <v>56</v>
      </c>
      <c r="B3076" s="513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57"/>
    </row>
    <row r="3077" spans="1:15" ht="12" customHeight="1">
      <c r="A3077" s="513">
        <v>63</v>
      </c>
      <c r="B3077" s="513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57"/>
    </row>
    <row r="3078" spans="1:15" ht="11.7" customHeight="1">
      <c r="A3078" s="513">
        <v>71</v>
      </c>
      <c r="B3078" s="513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57"/>
    </row>
    <row r="3079" spans="1:15" ht="12" customHeight="1">
      <c r="A3079" s="513">
        <v>80</v>
      </c>
      <c r="B3079" s="513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57"/>
    </row>
    <row r="3080" spans="1:15" ht="11.7" customHeight="1">
      <c r="A3080" s="513">
        <v>90</v>
      </c>
      <c r="B3080" s="513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57"/>
    </row>
    <row r="3081" spans="1:15" ht="11.7" customHeight="1">
      <c r="A3081" s="500">
        <v>100</v>
      </c>
      <c r="B3081" s="500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61"/>
    </row>
    <row r="3082" spans="1:15" ht="12" customHeight="1">
      <c r="A3082" s="500">
        <v>112</v>
      </c>
      <c r="B3082" s="500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62" t="s">
        <v>73</v>
      </c>
    </row>
    <row r="3083" spans="1:15" ht="11.7" customHeight="1">
      <c r="A3083" s="500">
        <v>125</v>
      </c>
      <c r="B3083" s="500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63"/>
    </row>
    <row r="3084" spans="1:15" ht="11.7" customHeight="1">
      <c r="A3084" s="500">
        <v>140</v>
      </c>
      <c r="B3084" s="500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63"/>
    </row>
    <row r="3085" spans="1:15" ht="12" customHeight="1">
      <c r="A3085" s="500">
        <v>160</v>
      </c>
      <c r="B3085" s="500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63"/>
    </row>
    <row r="3086" spans="1:15" ht="11.7" customHeight="1">
      <c r="A3086" s="500">
        <v>180</v>
      </c>
      <c r="B3086" s="500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63"/>
    </row>
    <row r="3087" spans="1:15" ht="11.7" customHeight="1">
      <c r="A3087" s="500">
        <v>200</v>
      </c>
      <c r="B3087" s="500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63"/>
    </row>
    <row r="3088" spans="1:15" ht="12" customHeight="1">
      <c r="A3088" s="500">
        <v>224</v>
      </c>
      <c r="B3088" s="500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63"/>
    </row>
    <row r="3089" spans="1:15" ht="11.7" customHeight="1">
      <c r="A3089" s="500">
        <v>250</v>
      </c>
      <c r="B3089" s="500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63"/>
    </row>
    <row r="3090" spans="1:15" ht="11.7" customHeight="1">
      <c r="A3090" s="500">
        <v>280</v>
      </c>
      <c r="B3090" s="500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63"/>
    </row>
    <row r="3091" spans="1:15" ht="12" customHeight="1">
      <c r="A3091" s="500">
        <v>315</v>
      </c>
      <c r="B3091" s="500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63"/>
    </row>
    <row r="3092" spans="1:15" ht="11.7" customHeight="1">
      <c r="A3092" s="500">
        <v>355</v>
      </c>
      <c r="B3092" s="500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63"/>
    </row>
    <row r="3093" spans="1:15" ht="11.7" customHeight="1">
      <c r="A3093" s="500">
        <v>400</v>
      </c>
      <c r="B3093" s="500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63"/>
    </row>
    <row r="3094" spans="1:15" ht="12" customHeight="1">
      <c r="A3094" s="480">
        <v>450</v>
      </c>
      <c r="B3094" s="480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63"/>
    </row>
    <row r="3096" spans="1:15" ht="33.75" customHeight="1">
      <c r="A3096" s="449" t="s">
        <v>525</v>
      </c>
      <c r="B3096" s="449"/>
      <c r="C3096" s="449"/>
      <c r="D3096" s="449"/>
      <c r="E3096" s="449"/>
      <c r="F3096" s="449"/>
      <c r="G3096" s="449"/>
      <c r="H3096" s="449"/>
    </row>
    <row r="3097" spans="1:15" ht="12" customHeight="1">
      <c r="A3097" s="515" t="s">
        <v>14</v>
      </c>
      <c r="B3097" s="515"/>
      <c r="C3097" s="515"/>
      <c r="D3097" s="515"/>
      <c r="E3097" s="515"/>
      <c r="F3097" s="515"/>
      <c r="G3097" s="515"/>
    </row>
    <row r="3098" spans="1:15" ht="11.7" customHeight="1">
      <c r="A3098" s="505" t="s">
        <v>528</v>
      </c>
      <c r="B3098" s="505"/>
      <c r="C3098" s="506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501">
        <v>1.25</v>
      </c>
      <c r="B3099" s="501"/>
      <c r="C3099" s="133" t="s">
        <v>1</v>
      </c>
      <c r="D3099" s="279" t="s">
        <v>1</v>
      </c>
      <c r="E3099" s="279" t="s">
        <v>1</v>
      </c>
      <c r="F3099" s="279" t="s">
        <v>1</v>
      </c>
      <c r="G3099" s="456" t="s">
        <v>175</v>
      </c>
    </row>
    <row r="3100" spans="1:15" ht="12" customHeight="1">
      <c r="A3100" s="502">
        <v>1.4</v>
      </c>
      <c r="B3100" s="502"/>
      <c r="C3100" s="133" t="s">
        <v>1</v>
      </c>
      <c r="D3100" s="279" t="s">
        <v>1</v>
      </c>
      <c r="E3100" s="279" t="s">
        <v>1</v>
      </c>
      <c r="F3100" s="279" t="s">
        <v>1</v>
      </c>
      <c r="G3100" s="457"/>
    </row>
    <row r="3101" spans="1:15" ht="11.7" customHeight="1">
      <c r="A3101" s="502">
        <v>1.6</v>
      </c>
      <c r="B3101" s="502"/>
      <c r="C3101" s="133" t="s">
        <v>1</v>
      </c>
      <c r="D3101" s="279" t="s">
        <v>1</v>
      </c>
      <c r="E3101" s="279" t="s">
        <v>1</v>
      </c>
      <c r="F3101" s="279" t="s">
        <v>1</v>
      </c>
      <c r="G3101" s="457"/>
    </row>
    <row r="3102" spans="1:15" ht="11.7" customHeight="1">
      <c r="A3102" s="502">
        <v>1.8</v>
      </c>
      <c r="B3102" s="502"/>
      <c r="C3102" s="133" t="s">
        <v>1</v>
      </c>
      <c r="D3102" s="279" t="s">
        <v>1</v>
      </c>
      <c r="E3102" s="279" t="s">
        <v>1</v>
      </c>
      <c r="F3102" s="279" t="s">
        <v>1</v>
      </c>
      <c r="G3102" s="457"/>
    </row>
    <row r="3103" spans="1:15" ht="12" customHeight="1">
      <c r="A3103" s="502">
        <v>2</v>
      </c>
      <c r="B3103" s="502"/>
      <c r="C3103" s="133" t="s">
        <v>1</v>
      </c>
      <c r="D3103" s="279" t="s">
        <v>1</v>
      </c>
      <c r="E3103" s="279" t="s">
        <v>1</v>
      </c>
      <c r="F3103" s="279" t="s">
        <v>1</v>
      </c>
      <c r="G3103" s="457"/>
    </row>
    <row r="3104" spans="1:15" ht="11.7" customHeight="1">
      <c r="A3104" s="501">
        <v>2.2400000000000002</v>
      </c>
      <c r="B3104" s="501"/>
      <c r="C3104" s="133" t="s">
        <v>1</v>
      </c>
      <c r="D3104" s="279" t="s">
        <v>1</v>
      </c>
      <c r="E3104" s="279" t="s">
        <v>1</v>
      </c>
      <c r="F3104" s="279" t="s">
        <v>1</v>
      </c>
      <c r="G3104" s="457"/>
    </row>
    <row r="3105" spans="1:7" ht="11.7" customHeight="1">
      <c r="A3105" s="502">
        <v>2.5</v>
      </c>
      <c r="B3105" s="502"/>
      <c r="C3105" s="133" t="s">
        <v>1</v>
      </c>
      <c r="D3105" s="279" t="s">
        <v>1</v>
      </c>
      <c r="E3105" s="279" t="s">
        <v>1</v>
      </c>
      <c r="F3105" s="279" t="s">
        <v>1</v>
      </c>
      <c r="G3105" s="457"/>
    </row>
    <row r="3106" spans="1:7" ht="12" customHeight="1">
      <c r="A3106" s="502">
        <v>2.8</v>
      </c>
      <c r="B3106" s="502"/>
      <c r="C3106" s="133" t="s">
        <v>1</v>
      </c>
      <c r="D3106" s="279" t="s">
        <v>1</v>
      </c>
      <c r="E3106" s="279" t="s">
        <v>1</v>
      </c>
      <c r="F3106" s="279" t="s">
        <v>1</v>
      </c>
      <c r="G3106" s="457"/>
    </row>
    <row r="3107" spans="1:7" ht="11.7" customHeight="1">
      <c r="A3107" s="501">
        <v>3.15</v>
      </c>
      <c r="B3107" s="501"/>
      <c r="C3107" s="133" t="s">
        <v>1</v>
      </c>
      <c r="D3107" s="279" t="s">
        <v>1</v>
      </c>
      <c r="E3107" s="279" t="s">
        <v>1</v>
      </c>
      <c r="F3107" s="279" t="s">
        <v>1</v>
      </c>
      <c r="G3107" s="457"/>
    </row>
    <row r="3108" spans="1:7" ht="11.7" customHeight="1">
      <c r="A3108" s="501">
        <v>3.55</v>
      </c>
      <c r="B3108" s="501"/>
      <c r="C3108" s="133" t="s">
        <v>1</v>
      </c>
      <c r="D3108" s="279" t="s">
        <v>1</v>
      </c>
      <c r="E3108" s="279" t="s">
        <v>1</v>
      </c>
      <c r="F3108" s="279" t="s">
        <v>1</v>
      </c>
      <c r="G3108" s="457"/>
    </row>
    <row r="3109" spans="1:7" ht="12" customHeight="1">
      <c r="A3109" s="502">
        <v>4</v>
      </c>
      <c r="B3109" s="502"/>
      <c r="C3109" s="133" t="s">
        <v>1</v>
      </c>
      <c r="D3109" s="279" t="s">
        <v>1</v>
      </c>
      <c r="E3109" s="279" t="s">
        <v>1</v>
      </c>
      <c r="F3109" s="279" t="s">
        <v>1</v>
      </c>
      <c r="G3109" s="457"/>
    </row>
    <row r="3110" spans="1:7" ht="11.7" customHeight="1">
      <c r="A3110" s="502">
        <v>4.5</v>
      </c>
      <c r="B3110" s="502"/>
      <c r="C3110" s="133" t="s">
        <v>1</v>
      </c>
      <c r="D3110" s="279" t="s">
        <v>1</v>
      </c>
      <c r="E3110" s="279" t="s">
        <v>1</v>
      </c>
      <c r="F3110" s="279" t="s">
        <v>1</v>
      </c>
      <c r="G3110" s="457"/>
    </row>
    <row r="3111" spans="1:7" ht="11.7" customHeight="1">
      <c r="A3111" s="502">
        <v>5</v>
      </c>
      <c r="B3111" s="502"/>
      <c r="C3111" s="133" t="s">
        <v>1</v>
      </c>
      <c r="D3111" s="279" t="s">
        <v>1</v>
      </c>
      <c r="E3111" s="279" t="s">
        <v>1</v>
      </c>
      <c r="F3111" s="279" t="s">
        <v>1</v>
      </c>
      <c r="G3111" s="457"/>
    </row>
    <row r="3112" spans="1:7" ht="12" customHeight="1">
      <c r="A3112" s="502">
        <v>5.6</v>
      </c>
      <c r="B3112" s="502"/>
      <c r="C3112" s="133" t="s">
        <v>1</v>
      </c>
      <c r="D3112" s="279" t="s">
        <v>1</v>
      </c>
      <c r="E3112" s="279" t="s">
        <v>1</v>
      </c>
      <c r="F3112" s="279" t="s">
        <v>1</v>
      </c>
      <c r="G3112" s="457"/>
    </row>
    <row r="3113" spans="1:7" ht="11.7" customHeight="1">
      <c r="A3113" s="502">
        <v>6.3</v>
      </c>
      <c r="B3113" s="502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57"/>
    </row>
    <row r="3114" spans="1:7" ht="11.7" customHeight="1">
      <c r="A3114" s="502">
        <v>7.1</v>
      </c>
      <c r="B3114" s="502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57"/>
    </row>
    <row r="3115" spans="1:7" ht="12" customHeight="1">
      <c r="A3115" s="502">
        <v>8</v>
      </c>
      <c r="B3115" s="502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61"/>
    </row>
    <row r="3116" spans="1:7" ht="11.7" customHeight="1">
      <c r="A3116" s="502">
        <v>9</v>
      </c>
      <c r="B3116" s="502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62" t="s">
        <v>71</v>
      </c>
    </row>
    <row r="3117" spans="1:7" ht="11.7" customHeight="1">
      <c r="A3117" s="513">
        <v>10</v>
      </c>
      <c r="B3117" s="513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63"/>
    </row>
    <row r="3118" spans="1:7" ht="12" customHeight="1">
      <c r="A3118" s="502">
        <v>11.2</v>
      </c>
      <c r="B3118" s="502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63"/>
    </row>
    <row r="3119" spans="1:7" ht="11.7" customHeight="1">
      <c r="A3119" s="502">
        <v>12.5</v>
      </c>
      <c r="B3119" s="502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63"/>
    </row>
    <row r="3120" spans="1:7" ht="11.7" customHeight="1">
      <c r="A3120" s="513">
        <v>14</v>
      </c>
      <c r="B3120" s="513"/>
      <c r="C3120" s="287">
        <v>14.244</v>
      </c>
      <c r="D3120" s="274">
        <v>14.183</v>
      </c>
      <c r="E3120" s="274">
        <v>14.657</v>
      </c>
      <c r="F3120" s="274">
        <v>14.497</v>
      </c>
      <c r="G3120" s="463"/>
    </row>
    <row r="3121" spans="1:7" ht="12" customHeight="1">
      <c r="A3121" s="513">
        <v>16</v>
      </c>
      <c r="B3121" s="513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63"/>
    </row>
    <row r="3122" spans="1:7" ht="11.7" customHeight="1">
      <c r="A3122" s="513">
        <v>18</v>
      </c>
      <c r="B3122" s="513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63"/>
    </row>
    <row r="3123" spans="1:7" ht="11.7" customHeight="1">
      <c r="A3123" s="513">
        <v>20</v>
      </c>
      <c r="B3123" s="513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63"/>
    </row>
    <row r="3124" spans="1:7" ht="12" customHeight="1">
      <c r="A3124" s="502">
        <v>22.4</v>
      </c>
      <c r="B3124" s="502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64"/>
    </row>
    <row r="3125" spans="1:7" ht="11.7" customHeight="1">
      <c r="A3125" s="513">
        <v>25</v>
      </c>
      <c r="B3125" s="513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56" t="s">
        <v>72</v>
      </c>
    </row>
    <row r="3126" spans="1:7" ht="11.7" customHeight="1">
      <c r="A3126" s="513">
        <v>28</v>
      </c>
      <c r="B3126" s="513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57"/>
    </row>
    <row r="3127" spans="1:7" ht="12" customHeight="1">
      <c r="A3127" s="502">
        <v>31.5</v>
      </c>
      <c r="B3127" s="502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57"/>
    </row>
    <row r="3128" spans="1:7" ht="11.7" customHeight="1">
      <c r="A3128" s="502">
        <v>35.5</v>
      </c>
      <c r="B3128" s="502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57"/>
    </row>
    <row r="3129" spans="1:7" ht="11.7" customHeight="1">
      <c r="A3129" s="513">
        <v>40</v>
      </c>
      <c r="B3129" s="513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57"/>
    </row>
    <row r="3130" spans="1:7" ht="12" customHeight="1">
      <c r="A3130" s="513">
        <v>45</v>
      </c>
      <c r="B3130" s="513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57"/>
    </row>
    <row r="3131" spans="1:7" ht="11.7" customHeight="1">
      <c r="A3131" s="513">
        <v>50</v>
      </c>
      <c r="B3131" s="513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57"/>
    </row>
    <row r="3132" spans="1:7" ht="11.7" customHeight="1">
      <c r="A3132" s="513">
        <v>56</v>
      </c>
      <c r="B3132" s="513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57"/>
    </row>
    <row r="3133" spans="1:7" ht="12" customHeight="1">
      <c r="A3133" s="513">
        <v>63</v>
      </c>
      <c r="B3133" s="513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57"/>
    </row>
    <row r="3134" spans="1:7" ht="11.7" customHeight="1">
      <c r="A3134" s="513">
        <v>71</v>
      </c>
      <c r="B3134" s="513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57"/>
    </row>
    <row r="3135" spans="1:7" ht="12" customHeight="1">
      <c r="A3135" s="513">
        <v>80</v>
      </c>
      <c r="B3135" s="513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57"/>
    </row>
    <row r="3136" spans="1:7" ht="11.7" customHeight="1">
      <c r="A3136" s="513">
        <v>90</v>
      </c>
      <c r="B3136" s="513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57"/>
    </row>
    <row r="3137" spans="1:13" ht="11.7" customHeight="1">
      <c r="A3137" s="500">
        <v>100</v>
      </c>
      <c r="B3137" s="500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61"/>
    </row>
    <row r="3138" spans="1:13" ht="12" customHeight="1">
      <c r="A3138" s="500">
        <v>112</v>
      </c>
      <c r="B3138" s="500"/>
      <c r="C3138" s="287">
        <v>115.375</v>
      </c>
      <c r="D3138" s="274">
        <v>118.215</v>
      </c>
      <c r="E3138" s="274">
        <v>115.712</v>
      </c>
      <c r="F3138" s="274">
        <v>118.985</v>
      </c>
      <c r="G3138" s="462" t="s">
        <v>73</v>
      </c>
    </row>
    <row r="3139" spans="1:13" ht="11.7" customHeight="1">
      <c r="A3139" s="500">
        <v>125</v>
      </c>
      <c r="B3139" s="500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63"/>
    </row>
    <row r="3140" spans="1:13" ht="11.7" customHeight="1">
      <c r="A3140" s="500">
        <v>140</v>
      </c>
      <c r="B3140" s="500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63"/>
    </row>
    <row r="3141" spans="1:13" ht="12" customHeight="1">
      <c r="A3141" s="500">
        <v>160</v>
      </c>
      <c r="B3141" s="500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63"/>
    </row>
    <row r="3142" spans="1:13" ht="11.7" customHeight="1">
      <c r="A3142" s="500">
        <v>180</v>
      </c>
      <c r="B3142" s="500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63"/>
    </row>
    <row r="3143" spans="1:13" ht="11.7" customHeight="1">
      <c r="A3143" s="500">
        <v>200</v>
      </c>
      <c r="B3143" s="500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63"/>
    </row>
    <row r="3144" spans="1:13" ht="12" customHeight="1">
      <c r="A3144" s="500">
        <v>224</v>
      </c>
      <c r="B3144" s="500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63"/>
    </row>
    <row r="3145" spans="1:13" ht="11.7" customHeight="1">
      <c r="A3145" s="500">
        <v>250</v>
      </c>
      <c r="B3145" s="500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63"/>
    </row>
    <row r="3146" spans="1:13" ht="11.7" customHeight="1">
      <c r="A3146" s="500">
        <v>280</v>
      </c>
      <c r="B3146" s="500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63"/>
    </row>
    <row r="3147" spans="1:13" ht="12" customHeight="1">
      <c r="A3147" s="500">
        <v>315</v>
      </c>
      <c r="B3147" s="500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63"/>
    </row>
    <row r="3148" spans="1:13" ht="11.7" customHeight="1">
      <c r="A3148" s="500">
        <v>355</v>
      </c>
      <c r="B3148" s="500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63"/>
    </row>
    <row r="3149" spans="1:13" ht="11.7" customHeight="1">
      <c r="A3149" s="500">
        <v>400</v>
      </c>
      <c r="B3149" s="500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63"/>
    </row>
    <row r="3150" spans="1:13" ht="12" customHeight="1">
      <c r="A3150" s="480">
        <v>450</v>
      </c>
      <c r="B3150" s="480"/>
      <c r="C3150" s="253" t="s">
        <v>1</v>
      </c>
      <c r="D3150" s="282" t="s">
        <v>1</v>
      </c>
      <c r="E3150" s="282" t="s">
        <v>1</v>
      </c>
      <c r="F3150" s="282" t="s">
        <v>1</v>
      </c>
      <c r="G3150" s="463"/>
    </row>
    <row r="3152" spans="1:13" ht="33.75" customHeight="1">
      <c r="A3152" s="449" t="s">
        <v>529</v>
      </c>
      <c r="B3152" s="449"/>
      <c r="C3152" s="449"/>
      <c r="D3152" s="449"/>
      <c r="E3152" s="449"/>
      <c r="F3152" s="449"/>
      <c r="G3152" s="449"/>
      <c r="H3152" s="449"/>
      <c r="I3152" s="449"/>
      <c r="J3152" s="449"/>
      <c r="K3152" s="449"/>
      <c r="L3152" s="449"/>
      <c r="M3152" s="449"/>
    </row>
    <row r="3153" spans="1:12" ht="12.3" customHeight="1">
      <c r="A3153" s="515" t="s">
        <v>14</v>
      </c>
      <c r="B3153" s="515"/>
      <c r="C3153" s="515"/>
      <c r="D3153" s="515"/>
      <c r="E3153" s="515"/>
      <c r="F3153" s="515"/>
      <c r="G3153" s="515"/>
      <c r="H3153" s="515"/>
      <c r="I3153" s="515"/>
      <c r="J3153" s="515"/>
      <c r="K3153" s="515"/>
      <c r="L3153" s="515"/>
    </row>
    <row r="3154" spans="1:12" ht="12" customHeight="1">
      <c r="A3154" s="505" t="s">
        <v>530</v>
      </c>
      <c r="B3154" s="505"/>
      <c r="C3154" s="506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502">
        <v>5</v>
      </c>
      <c r="B3155" s="502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56" t="s">
        <v>456</v>
      </c>
    </row>
    <row r="3156" spans="1:12" ht="12" customHeight="1">
      <c r="A3156" s="502">
        <v>5.6</v>
      </c>
      <c r="B3156" s="502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57"/>
    </row>
    <row r="3157" spans="1:12" ht="12.3" customHeight="1">
      <c r="A3157" s="502">
        <v>6.3</v>
      </c>
      <c r="B3157" s="502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57"/>
    </row>
    <row r="3158" spans="1:12" ht="12" customHeight="1">
      <c r="A3158" s="502">
        <v>7.1</v>
      </c>
      <c r="B3158" s="502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57"/>
    </row>
    <row r="3159" spans="1:12" ht="12.3" customHeight="1">
      <c r="A3159" s="502">
        <v>8</v>
      </c>
      <c r="B3159" s="502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57"/>
    </row>
    <row r="3160" spans="1:12" ht="12" customHeight="1">
      <c r="A3160" s="502">
        <v>9</v>
      </c>
      <c r="B3160" s="502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57"/>
    </row>
    <row r="3161" spans="1:12" ht="12.3" customHeight="1">
      <c r="A3161" s="513">
        <v>10</v>
      </c>
      <c r="B3161" s="513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57"/>
    </row>
    <row r="3162" spans="1:12" ht="12" customHeight="1">
      <c r="A3162" s="502">
        <v>11.2</v>
      </c>
      <c r="B3162" s="502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57"/>
    </row>
    <row r="3163" spans="1:12" ht="12.3" customHeight="1">
      <c r="A3163" s="502">
        <v>12.5</v>
      </c>
      <c r="B3163" s="502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57"/>
    </row>
    <row r="3164" spans="1:12" ht="12" customHeight="1">
      <c r="A3164" s="513">
        <v>14</v>
      </c>
      <c r="B3164" s="513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57"/>
    </row>
    <row r="3165" spans="1:12" ht="12.3" customHeight="1">
      <c r="A3165" s="513">
        <v>16</v>
      </c>
      <c r="B3165" s="513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57"/>
    </row>
    <row r="3166" spans="1:12" ht="12" customHeight="1">
      <c r="A3166" s="513">
        <v>18</v>
      </c>
      <c r="B3166" s="513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57"/>
    </row>
    <row r="3167" spans="1:12" ht="12.3" customHeight="1">
      <c r="A3167" s="513">
        <v>20</v>
      </c>
      <c r="B3167" s="513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61"/>
    </row>
    <row r="3168" spans="1:12" ht="12" customHeight="1">
      <c r="A3168" s="502">
        <v>22.4</v>
      </c>
      <c r="B3168" s="502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62" t="s">
        <v>336</v>
      </c>
    </row>
    <row r="3169" spans="1:12" ht="12.3" customHeight="1">
      <c r="A3169" s="513">
        <v>25</v>
      </c>
      <c r="B3169" s="513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63"/>
    </row>
    <row r="3170" spans="1:12" ht="12" customHeight="1">
      <c r="A3170" s="513">
        <v>28</v>
      </c>
      <c r="B3170" s="513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63"/>
    </row>
    <row r="3171" spans="1:12" ht="12.3" customHeight="1">
      <c r="A3171" s="502">
        <v>31.5</v>
      </c>
      <c r="B3171" s="502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63"/>
    </row>
    <row r="3172" spans="1:12" ht="12" customHeight="1">
      <c r="A3172" s="502">
        <v>35.5</v>
      </c>
      <c r="B3172" s="502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63"/>
    </row>
    <row r="3173" spans="1:12" ht="12.3" customHeight="1">
      <c r="A3173" s="513">
        <v>40</v>
      </c>
      <c r="B3173" s="513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63"/>
    </row>
    <row r="3174" spans="1:12" ht="12" customHeight="1">
      <c r="A3174" s="513">
        <v>45</v>
      </c>
      <c r="B3174" s="513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63"/>
    </row>
    <row r="3175" spans="1:12" ht="12.3" customHeight="1">
      <c r="A3175" s="513">
        <v>50</v>
      </c>
      <c r="B3175" s="513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63"/>
    </row>
    <row r="3176" spans="1:12" ht="12" customHeight="1">
      <c r="A3176" s="513">
        <v>56</v>
      </c>
      <c r="B3176" s="513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63"/>
    </row>
    <row r="3177" spans="1:12" ht="12.3" customHeight="1">
      <c r="A3177" s="513">
        <v>63</v>
      </c>
      <c r="B3177" s="513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63"/>
    </row>
    <row r="3178" spans="1:12" ht="12" customHeight="1">
      <c r="A3178" s="513">
        <v>71</v>
      </c>
      <c r="B3178" s="513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63"/>
    </row>
    <row r="3179" spans="1:12" ht="12.3" customHeight="1">
      <c r="A3179" s="513">
        <v>80</v>
      </c>
      <c r="B3179" s="513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64"/>
    </row>
    <row r="3180" spans="1:12" ht="12" customHeight="1">
      <c r="A3180" s="513">
        <v>90</v>
      </c>
      <c r="B3180" s="513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56" t="s">
        <v>337</v>
      </c>
    </row>
    <row r="3181" spans="1:12" ht="12.3" customHeight="1">
      <c r="A3181" s="500">
        <v>100</v>
      </c>
      <c r="B3181" s="500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57"/>
    </row>
    <row r="3182" spans="1:12" ht="12" customHeight="1">
      <c r="A3182" s="500">
        <v>112</v>
      </c>
      <c r="B3182" s="500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57"/>
    </row>
    <row r="3183" spans="1:12" ht="12.3" customHeight="1">
      <c r="A3183" s="500">
        <v>125</v>
      </c>
      <c r="B3183" s="500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57"/>
    </row>
    <row r="3184" spans="1:12" ht="12" customHeight="1">
      <c r="A3184" s="500">
        <v>140</v>
      </c>
      <c r="B3184" s="500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57"/>
    </row>
    <row r="3185" spans="1:17" ht="12.3" customHeight="1">
      <c r="A3185" s="500">
        <v>160</v>
      </c>
      <c r="B3185" s="500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57"/>
    </row>
    <row r="3186" spans="1:17" ht="12" customHeight="1">
      <c r="A3186" s="500">
        <v>180</v>
      </c>
      <c r="B3186" s="500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57"/>
    </row>
    <row r="3187" spans="1:17" ht="12.3" customHeight="1">
      <c r="A3187" s="500">
        <v>200</v>
      </c>
      <c r="B3187" s="500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57"/>
    </row>
    <row r="3188" spans="1:17" ht="12" customHeight="1">
      <c r="A3188" s="500">
        <v>224</v>
      </c>
      <c r="B3188" s="500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57"/>
    </row>
    <row r="3189" spans="1:17" ht="12.3" customHeight="1">
      <c r="A3189" s="500">
        <v>250</v>
      </c>
      <c r="B3189" s="500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57"/>
    </row>
    <row r="3190" spans="1:17" ht="12" customHeight="1">
      <c r="A3190" s="500">
        <v>280</v>
      </c>
      <c r="B3190" s="500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57"/>
    </row>
    <row r="3191" spans="1:17" ht="12.3" customHeight="1">
      <c r="A3191" s="500">
        <v>315</v>
      </c>
      <c r="B3191" s="500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57"/>
    </row>
    <row r="3192" spans="1:17" ht="12.3" customHeight="1">
      <c r="A3192" s="500">
        <v>355</v>
      </c>
      <c r="B3192" s="500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57"/>
    </row>
    <row r="3193" spans="1:17" ht="12" customHeight="1">
      <c r="A3193" s="480">
        <v>400</v>
      </c>
      <c r="B3193" s="480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57"/>
    </row>
    <row r="3195" spans="1:17" ht="33.75" customHeight="1">
      <c r="A3195" s="449" t="s">
        <v>529</v>
      </c>
      <c r="B3195" s="449"/>
      <c r="C3195" s="449"/>
      <c r="D3195" s="449"/>
      <c r="E3195" s="449"/>
      <c r="F3195" s="449"/>
      <c r="G3195" s="449"/>
      <c r="H3195" s="449"/>
      <c r="I3195" s="449"/>
      <c r="J3195" s="449"/>
      <c r="K3195" s="449"/>
      <c r="L3195" s="449"/>
      <c r="M3195" s="449"/>
      <c r="N3195" s="449"/>
      <c r="O3195" s="449"/>
      <c r="P3195" s="449"/>
      <c r="Q3195" s="449"/>
    </row>
    <row r="3196" spans="1:17" ht="12.3" customHeight="1">
      <c r="A3196" s="515" t="s">
        <v>14</v>
      </c>
      <c r="B3196" s="515"/>
      <c r="C3196" s="515"/>
      <c r="D3196" s="515"/>
      <c r="E3196" s="515"/>
      <c r="F3196" s="515"/>
      <c r="G3196" s="515"/>
      <c r="H3196" s="515"/>
      <c r="I3196" s="515"/>
      <c r="J3196" s="515"/>
      <c r="K3196" s="515"/>
      <c r="L3196" s="515"/>
      <c r="M3196" s="515"/>
      <c r="N3196" s="515"/>
      <c r="O3196" s="515"/>
    </row>
    <row r="3197" spans="1:17" ht="12" customHeight="1">
      <c r="A3197" s="505" t="s">
        <v>527</v>
      </c>
      <c r="B3197" s="505"/>
      <c r="C3197" s="506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502">
        <v>5</v>
      </c>
      <c r="B3198" s="502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56" t="s">
        <v>456</v>
      </c>
    </row>
    <row r="3199" spans="1:17" ht="12" customHeight="1">
      <c r="A3199" s="502">
        <v>5.6</v>
      </c>
      <c r="B3199" s="502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57"/>
    </row>
    <row r="3200" spans="1:17" ht="12.3" customHeight="1">
      <c r="A3200" s="502">
        <v>6.3</v>
      </c>
      <c r="B3200" s="502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57"/>
    </row>
    <row r="3201" spans="1:15" ht="12" customHeight="1">
      <c r="A3201" s="502">
        <v>7.1</v>
      </c>
      <c r="B3201" s="502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57"/>
    </row>
    <row r="3202" spans="1:15" ht="12.3" customHeight="1">
      <c r="A3202" s="502">
        <v>8</v>
      </c>
      <c r="B3202" s="502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57"/>
    </row>
    <row r="3203" spans="1:15" ht="12" customHeight="1">
      <c r="A3203" s="502">
        <v>9</v>
      </c>
      <c r="B3203" s="502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57"/>
    </row>
    <row r="3204" spans="1:15" ht="12.3" customHeight="1">
      <c r="A3204" s="513">
        <v>10</v>
      </c>
      <c r="B3204" s="513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57"/>
    </row>
    <row r="3205" spans="1:15" ht="12" customHeight="1">
      <c r="A3205" s="502">
        <v>11.2</v>
      </c>
      <c r="B3205" s="502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57"/>
    </row>
    <row r="3206" spans="1:15" ht="12.3" customHeight="1">
      <c r="A3206" s="502">
        <v>12.5</v>
      </c>
      <c r="B3206" s="502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57"/>
    </row>
    <row r="3207" spans="1:15" ht="12" customHeight="1">
      <c r="A3207" s="513">
        <v>14</v>
      </c>
      <c r="B3207" s="513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57"/>
    </row>
    <row r="3208" spans="1:15" ht="12.3" customHeight="1">
      <c r="A3208" s="513">
        <v>16</v>
      </c>
      <c r="B3208" s="513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57"/>
    </row>
    <row r="3209" spans="1:15" ht="12" customHeight="1">
      <c r="A3209" s="513">
        <v>18</v>
      </c>
      <c r="B3209" s="513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57"/>
    </row>
    <row r="3210" spans="1:15" ht="12.3" customHeight="1">
      <c r="A3210" s="513">
        <v>20</v>
      </c>
      <c r="B3210" s="513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61"/>
    </row>
    <row r="3211" spans="1:15" ht="12" customHeight="1">
      <c r="A3211" s="502">
        <v>22.4</v>
      </c>
      <c r="B3211" s="502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62" t="s">
        <v>336</v>
      </c>
    </row>
    <row r="3212" spans="1:15" ht="12.3" customHeight="1">
      <c r="A3212" s="513">
        <v>25</v>
      </c>
      <c r="B3212" s="513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63"/>
    </row>
    <row r="3213" spans="1:15" ht="12" customHeight="1">
      <c r="A3213" s="513">
        <v>28</v>
      </c>
      <c r="B3213" s="513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63"/>
    </row>
    <row r="3214" spans="1:15" ht="12.3" customHeight="1">
      <c r="A3214" s="502">
        <v>31.5</v>
      </c>
      <c r="B3214" s="502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63"/>
    </row>
    <row r="3215" spans="1:15" ht="12" customHeight="1">
      <c r="A3215" s="502">
        <v>35.5</v>
      </c>
      <c r="B3215" s="502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63"/>
    </row>
    <row r="3216" spans="1:15" ht="12.3" customHeight="1">
      <c r="A3216" s="513">
        <v>40</v>
      </c>
      <c r="B3216" s="513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63"/>
    </row>
    <row r="3217" spans="1:15" ht="12" customHeight="1">
      <c r="A3217" s="513">
        <v>45</v>
      </c>
      <c r="B3217" s="513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63"/>
    </row>
    <row r="3218" spans="1:15" ht="12.3" customHeight="1">
      <c r="A3218" s="513">
        <v>50</v>
      </c>
      <c r="B3218" s="513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63"/>
    </row>
    <row r="3219" spans="1:15" ht="12" customHeight="1">
      <c r="A3219" s="513">
        <v>56</v>
      </c>
      <c r="B3219" s="513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63"/>
    </row>
    <row r="3220" spans="1:15" ht="12.3" customHeight="1">
      <c r="A3220" s="513">
        <v>63</v>
      </c>
      <c r="B3220" s="513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63"/>
    </row>
    <row r="3221" spans="1:15" ht="12" customHeight="1">
      <c r="A3221" s="513">
        <v>71</v>
      </c>
      <c r="B3221" s="513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63"/>
    </row>
    <row r="3222" spans="1:15" ht="12.3" customHeight="1">
      <c r="A3222" s="513">
        <v>80</v>
      </c>
      <c r="B3222" s="513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64"/>
    </row>
    <row r="3223" spans="1:15" ht="12" customHeight="1">
      <c r="A3223" s="513">
        <v>90</v>
      </c>
      <c r="B3223" s="513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56" t="s">
        <v>337</v>
      </c>
    </row>
    <row r="3224" spans="1:15" ht="12.3" customHeight="1">
      <c r="A3224" s="500">
        <v>100</v>
      </c>
      <c r="B3224" s="500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57"/>
    </row>
    <row r="3225" spans="1:15" ht="12" customHeight="1">
      <c r="A3225" s="500">
        <v>112</v>
      </c>
      <c r="B3225" s="500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57"/>
    </row>
    <row r="3226" spans="1:15" ht="12.3" customHeight="1">
      <c r="A3226" s="500">
        <v>125</v>
      </c>
      <c r="B3226" s="500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57"/>
    </row>
    <row r="3227" spans="1:15" ht="12" customHeight="1">
      <c r="A3227" s="500">
        <v>140</v>
      </c>
      <c r="B3227" s="500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57"/>
    </row>
    <row r="3228" spans="1:15" ht="12.3" customHeight="1">
      <c r="A3228" s="500">
        <v>160</v>
      </c>
      <c r="B3228" s="500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57"/>
    </row>
    <row r="3229" spans="1:15" ht="12" customHeight="1">
      <c r="A3229" s="500">
        <v>180</v>
      </c>
      <c r="B3229" s="500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57"/>
    </row>
    <row r="3230" spans="1:15" ht="12.3" customHeight="1">
      <c r="A3230" s="500">
        <v>200</v>
      </c>
      <c r="B3230" s="500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57"/>
    </row>
    <row r="3231" spans="1:15" ht="12" customHeight="1">
      <c r="A3231" s="500">
        <v>224</v>
      </c>
      <c r="B3231" s="500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57"/>
    </row>
    <row r="3232" spans="1:15" ht="12.3" customHeight="1">
      <c r="A3232" s="500">
        <v>250</v>
      </c>
      <c r="B3232" s="500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57"/>
    </row>
    <row r="3233" spans="1:15" ht="12" customHeight="1">
      <c r="A3233" s="500">
        <v>280</v>
      </c>
      <c r="B3233" s="500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57"/>
    </row>
    <row r="3234" spans="1:15" ht="12.3" customHeight="1">
      <c r="A3234" s="500">
        <v>315</v>
      </c>
      <c r="B3234" s="500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57"/>
    </row>
    <row r="3235" spans="1:15" ht="12.3" customHeight="1">
      <c r="A3235" s="500">
        <v>355</v>
      </c>
      <c r="B3235" s="500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57"/>
    </row>
    <row r="3236" spans="1:15" ht="12" customHeight="1">
      <c r="A3236" s="480">
        <v>400</v>
      </c>
      <c r="B3236" s="480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57"/>
    </row>
    <row r="3238" spans="1:15" ht="33.75" customHeight="1">
      <c r="A3238" s="449" t="s">
        <v>529</v>
      </c>
      <c r="B3238" s="449"/>
      <c r="C3238" s="449"/>
      <c r="D3238" s="449"/>
      <c r="E3238" s="449"/>
      <c r="F3238" s="449"/>
      <c r="G3238" s="449"/>
      <c r="H3238" s="449"/>
      <c r="I3238" s="449"/>
    </row>
    <row r="3239" spans="1:15" ht="24.3" customHeight="1">
      <c r="A3239" s="509" t="s">
        <v>531</v>
      </c>
      <c r="B3239" s="509"/>
      <c r="C3239" s="514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502">
        <v>5</v>
      </c>
      <c r="B3240" s="502"/>
      <c r="C3240" s="179" t="s">
        <v>1</v>
      </c>
      <c r="D3240" s="279" t="s">
        <v>1</v>
      </c>
      <c r="E3240" s="279" t="s">
        <v>1</v>
      </c>
      <c r="F3240" s="279" t="s">
        <v>1</v>
      </c>
      <c r="G3240" s="456" t="s">
        <v>456</v>
      </c>
    </row>
    <row r="3241" spans="1:15" ht="12" customHeight="1">
      <c r="A3241" s="502">
        <v>5.6</v>
      </c>
      <c r="B3241" s="502"/>
      <c r="C3241" s="179" t="s">
        <v>1</v>
      </c>
      <c r="D3241" s="279" t="s">
        <v>1</v>
      </c>
      <c r="E3241" s="279" t="s">
        <v>1</v>
      </c>
      <c r="F3241" s="279" t="s">
        <v>1</v>
      </c>
      <c r="G3241" s="457"/>
    </row>
    <row r="3242" spans="1:15" ht="12.3" customHeight="1">
      <c r="A3242" s="502">
        <v>6.3</v>
      </c>
      <c r="B3242" s="502"/>
      <c r="C3242" s="179" t="s">
        <v>1</v>
      </c>
      <c r="D3242" s="279" t="s">
        <v>1</v>
      </c>
      <c r="E3242" s="279" t="s">
        <v>1</v>
      </c>
      <c r="F3242" s="279" t="s">
        <v>1</v>
      </c>
      <c r="G3242" s="457"/>
    </row>
    <row r="3243" spans="1:15" ht="12" customHeight="1">
      <c r="A3243" s="502">
        <v>7.1</v>
      </c>
      <c r="B3243" s="502"/>
      <c r="C3243" s="179" t="s">
        <v>1</v>
      </c>
      <c r="D3243" s="279" t="s">
        <v>1</v>
      </c>
      <c r="E3243" s="279" t="s">
        <v>1</v>
      </c>
      <c r="F3243" s="279" t="s">
        <v>1</v>
      </c>
      <c r="G3243" s="457"/>
    </row>
    <row r="3244" spans="1:15" ht="12.3" customHeight="1">
      <c r="A3244" s="502">
        <v>8</v>
      </c>
      <c r="B3244" s="502"/>
      <c r="C3244" s="179" t="s">
        <v>1</v>
      </c>
      <c r="D3244" s="279" t="s">
        <v>1</v>
      </c>
      <c r="E3244" s="279" t="s">
        <v>1</v>
      </c>
      <c r="F3244" s="279" t="s">
        <v>1</v>
      </c>
      <c r="G3244" s="457"/>
    </row>
    <row r="3245" spans="1:15" ht="12" customHeight="1">
      <c r="A3245" s="502">
        <v>9</v>
      </c>
      <c r="B3245" s="502"/>
      <c r="C3245" s="179" t="s">
        <v>1</v>
      </c>
      <c r="D3245" s="279" t="s">
        <v>1</v>
      </c>
      <c r="E3245" s="279" t="s">
        <v>1</v>
      </c>
      <c r="F3245" s="279" t="s">
        <v>1</v>
      </c>
      <c r="G3245" s="457"/>
    </row>
    <row r="3246" spans="1:15" ht="12.3" customHeight="1">
      <c r="A3246" s="513">
        <v>10</v>
      </c>
      <c r="B3246" s="513"/>
      <c r="C3246" s="179" t="s">
        <v>1</v>
      </c>
      <c r="D3246" s="279" t="s">
        <v>1</v>
      </c>
      <c r="E3246" s="279" t="s">
        <v>1</v>
      </c>
      <c r="F3246" s="279" t="s">
        <v>1</v>
      </c>
      <c r="G3246" s="457"/>
    </row>
    <row r="3247" spans="1:15" ht="12" customHeight="1">
      <c r="A3247" s="502">
        <v>11.2</v>
      </c>
      <c r="B3247" s="502"/>
      <c r="C3247" s="179" t="s">
        <v>1</v>
      </c>
      <c r="D3247" s="279" t="s">
        <v>1</v>
      </c>
      <c r="E3247" s="279" t="s">
        <v>1</v>
      </c>
      <c r="F3247" s="279" t="s">
        <v>1</v>
      </c>
      <c r="G3247" s="457"/>
    </row>
    <row r="3248" spans="1:15" ht="12.3" customHeight="1">
      <c r="A3248" s="502">
        <v>12.5</v>
      </c>
      <c r="B3248" s="502"/>
      <c r="C3248" s="179" t="s">
        <v>1</v>
      </c>
      <c r="D3248" s="279" t="s">
        <v>1</v>
      </c>
      <c r="E3248" s="279" t="s">
        <v>1</v>
      </c>
      <c r="F3248" s="279" t="s">
        <v>1</v>
      </c>
      <c r="G3248" s="457"/>
    </row>
    <row r="3249" spans="1:7" ht="12" customHeight="1">
      <c r="A3249" s="513">
        <v>14</v>
      </c>
      <c r="B3249" s="513"/>
      <c r="C3249" s="179" t="s">
        <v>1</v>
      </c>
      <c r="D3249" s="279" t="s">
        <v>1</v>
      </c>
      <c r="E3249" s="279" t="s">
        <v>1</v>
      </c>
      <c r="F3249" s="279" t="s">
        <v>1</v>
      </c>
      <c r="G3249" s="457"/>
    </row>
    <row r="3250" spans="1:7" ht="12.3" customHeight="1">
      <c r="A3250" s="513">
        <v>16</v>
      </c>
      <c r="B3250" s="513"/>
      <c r="C3250" s="179" t="s">
        <v>1</v>
      </c>
      <c r="D3250" s="279" t="s">
        <v>1</v>
      </c>
      <c r="E3250" s="279" t="s">
        <v>1</v>
      </c>
      <c r="F3250" s="279" t="s">
        <v>1</v>
      </c>
      <c r="G3250" s="457"/>
    </row>
    <row r="3251" spans="1:7" ht="12" customHeight="1">
      <c r="A3251" s="513">
        <v>18</v>
      </c>
      <c r="B3251" s="513"/>
      <c r="C3251" s="179" t="s">
        <v>1</v>
      </c>
      <c r="D3251" s="279" t="s">
        <v>1</v>
      </c>
      <c r="E3251" s="279" t="s">
        <v>1</v>
      </c>
      <c r="F3251" s="279" t="s">
        <v>1</v>
      </c>
      <c r="G3251" s="457"/>
    </row>
    <row r="3252" spans="1:7" ht="12.3" customHeight="1">
      <c r="A3252" s="513">
        <v>20</v>
      </c>
      <c r="B3252" s="513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61"/>
    </row>
    <row r="3253" spans="1:7" ht="12" customHeight="1">
      <c r="A3253" s="502">
        <v>22.4</v>
      </c>
      <c r="B3253" s="502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62" t="s">
        <v>336</v>
      </c>
    </row>
    <row r="3254" spans="1:7" ht="12.3" customHeight="1">
      <c r="A3254" s="513">
        <v>25</v>
      </c>
      <c r="B3254" s="513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63"/>
    </row>
    <row r="3255" spans="1:7" ht="12" customHeight="1">
      <c r="A3255" s="513">
        <v>28</v>
      </c>
      <c r="B3255" s="513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63"/>
    </row>
    <row r="3256" spans="1:7" ht="12.3" customHeight="1">
      <c r="A3256" s="502">
        <v>31.5</v>
      </c>
      <c r="B3256" s="502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63"/>
    </row>
    <row r="3257" spans="1:7" ht="12" customHeight="1">
      <c r="A3257" s="502">
        <v>35.5</v>
      </c>
      <c r="B3257" s="502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63"/>
    </row>
    <row r="3258" spans="1:7" ht="12.3" customHeight="1">
      <c r="A3258" s="513">
        <v>40</v>
      </c>
      <c r="B3258" s="513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63"/>
    </row>
    <row r="3259" spans="1:7" ht="12" customHeight="1">
      <c r="A3259" s="513">
        <v>45</v>
      </c>
      <c r="B3259" s="513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63"/>
    </row>
    <row r="3260" spans="1:7" ht="12.3" customHeight="1">
      <c r="A3260" s="513">
        <v>50</v>
      </c>
      <c r="B3260" s="513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63"/>
    </row>
    <row r="3261" spans="1:7" ht="12" customHeight="1">
      <c r="A3261" s="513">
        <v>56</v>
      </c>
      <c r="B3261" s="513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63"/>
    </row>
    <row r="3262" spans="1:7" ht="12.3" customHeight="1">
      <c r="A3262" s="513">
        <v>63</v>
      </c>
      <c r="B3262" s="513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63"/>
    </row>
    <row r="3263" spans="1:7" ht="12" customHeight="1">
      <c r="A3263" s="513">
        <v>71</v>
      </c>
      <c r="B3263" s="513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63"/>
    </row>
    <row r="3264" spans="1:7" ht="12.3" customHeight="1">
      <c r="A3264" s="513">
        <v>80</v>
      </c>
      <c r="B3264" s="513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64"/>
    </row>
    <row r="3265" spans="1:7" ht="12" customHeight="1">
      <c r="A3265" s="513">
        <v>90</v>
      </c>
      <c r="B3265" s="513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56" t="s">
        <v>337</v>
      </c>
    </row>
    <row r="3266" spans="1:7" ht="12.3" customHeight="1">
      <c r="A3266" s="500">
        <v>100</v>
      </c>
      <c r="B3266" s="500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57"/>
    </row>
    <row r="3267" spans="1:7" ht="12" customHeight="1">
      <c r="A3267" s="500">
        <v>112</v>
      </c>
      <c r="B3267" s="500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57"/>
    </row>
    <row r="3268" spans="1:7" ht="12.3" customHeight="1">
      <c r="A3268" s="500">
        <v>125</v>
      </c>
      <c r="B3268" s="500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57"/>
    </row>
    <row r="3269" spans="1:7" ht="12" customHeight="1">
      <c r="A3269" s="500">
        <v>140</v>
      </c>
      <c r="B3269" s="500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57"/>
    </row>
    <row r="3270" spans="1:7" ht="12.3" customHeight="1">
      <c r="A3270" s="500">
        <v>160</v>
      </c>
      <c r="B3270" s="500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57"/>
    </row>
    <row r="3271" spans="1:7" ht="12" customHeight="1">
      <c r="A3271" s="500">
        <v>180</v>
      </c>
      <c r="B3271" s="500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57"/>
    </row>
    <row r="3272" spans="1:7" ht="12.3" customHeight="1">
      <c r="A3272" s="500">
        <v>200</v>
      </c>
      <c r="B3272" s="500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57"/>
    </row>
    <row r="3273" spans="1:7" ht="12" customHeight="1">
      <c r="A3273" s="500">
        <v>224</v>
      </c>
      <c r="B3273" s="500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57"/>
    </row>
    <row r="3274" spans="1:7" ht="12.3" customHeight="1">
      <c r="A3274" s="500">
        <v>250</v>
      </c>
      <c r="B3274" s="500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57"/>
    </row>
    <row r="3275" spans="1:7" ht="12" customHeight="1">
      <c r="A3275" s="500">
        <v>280</v>
      </c>
      <c r="B3275" s="500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57"/>
    </row>
    <row r="3276" spans="1:7" ht="12.3" customHeight="1">
      <c r="A3276" s="500">
        <v>315</v>
      </c>
      <c r="B3276" s="500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57"/>
    </row>
    <row r="3277" spans="1:7" ht="12.3" customHeight="1">
      <c r="A3277" s="500">
        <v>355</v>
      </c>
      <c r="B3277" s="500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57"/>
    </row>
    <row r="3278" spans="1:7" ht="12" customHeight="1">
      <c r="A3278" s="480">
        <v>400</v>
      </c>
      <c r="B3278" s="480"/>
      <c r="C3278" s="153" t="s">
        <v>1</v>
      </c>
      <c r="D3278" s="188" t="s">
        <v>1</v>
      </c>
      <c r="E3278" s="188" t="s">
        <v>1</v>
      </c>
      <c r="F3278" s="188" t="s">
        <v>1</v>
      </c>
      <c r="G3278" s="457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2024-06-27T12:19:22Z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